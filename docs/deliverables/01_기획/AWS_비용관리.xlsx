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food-budget-app\docs\deliverables\01_기획\"/>
    </mc:Choice>
  </mc:AlternateContent>
  <xr:revisionPtr revIDLastSave="0" documentId="8_{0DD20AB7-2C50-4FF4-B2EB-3463A79A0E19}" xr6:coauthVersionLast="47" xr6:coauthVersionMax="47" xr10:uidLastSave="{00000000-0000-0000-0000-000000000000}"/>
  <bookViews>
    <workbookView xWindow="-28920" yWindow="10830" windowWidth="29040" windowHeight="15720" xr2:uid="{00000000-000D-0000-FFFF-FFFF00000000}"/>
  </bookViews>
  <sheets>
    <sheet name="사전 서비스별 예측 비용" sheetId="1" r:id="rId1"/>
    <sheet name="aws 전체 실질적 리소스 사용" sheetId="2" r:id="rId2"/>
    <sheet name="절감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H/vLx3jABgAxbde9ndiq5PciYOJrOJvolcFp0Fo1x64="/>
    </ext>
  </extLst>
</workbook>
</file>

<file path=xl/calcChain.xml><?xml version="1.0" encoding="utf-8"?>
<calcChain xmlns="http://schemas.openxmlformats.org/spreadsheetml/2006/main">
  <c r="D13" i="3" l="1"/>
  <c r="A13" i="3"/>
  <c r="G9" i="3"/>
  <c r="H9" i="3" s="1"/>
  <c r="G8" i="3"/>
  <c r="H8" i="3" s="1"/>
  <c r="G7" i="3"/>
  <c r="H7" i="3" s="1"/>
  <c r="G6" i="3"/>
  <c r="H6" i="3" s="1"/>
  <c r="G5" i="3"/>
  <c r="H5" i="3" s="1"/>
  <c r="I163" i="2"/>
  <c r="I162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28" i="2"/>
  <c r="I127" i="2"/>
  <c r="I126" i="2"/>
  <c r="I125" i="2"/>
  <c r="I124" i="2"/>
  <c r="I123" i="2"/>
  <c r="I122" i="2"/>
  <c r="I121" i="2"/>
  <c r="I120" i="2"/>
  <c r="I119" i="2"/>
  <c r="I118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39" i="2"/>
  <c r="I38" i="2"/>
  <c r="I37" i="2"/>
  <c r="I32" i="2"/>
  <c r="I31" i="2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29" i="1" s="1"/>
  <c r="B4" i="1" s="1"/>
  <c r="G9" i="1"/>
  <c r="G8" i="1"/>
  <c r="G7" i="1"/>
  <c r="E4" i="1"/>
</calcChain>
</file>

<file path=xl/sharedStrings.xml><?xml version="1.0" encoding="utf-8"?>
<sst xmlns="http://schemas.openxmlformats.org/spreadsheetml/2006/main" count="1848" uniqueCount="553">
  <si>
    <t>AWS 월 비용 절감 시나리오 비교</t>
  </si>
  <si>
    <t>카테고리</t>
  </si>
  <si>
    <t>AWS 실질 리소스 기준 서비스별 월 예상 비용</t>
  </si>
  <si>
    <t>서비스</t>
  </si>
  <si>
    <t>PPT에 표시된 5개 개선 항목을 동일 기준으로 정리 · 각 항목은 독립 시나리오이므로 절감액 단순 합산 금지</t>
  </si>
  <si>
    <t>리전</t>
  </si>
  <si>
    <t>리소스 ID</t>
  </si>
  <si>
    <t>이름</t>
  </si>
  <si>
    <t>유형</t>
  </si>
  <si>
    <t>상태</t>
  </si>
  <si>
    <t>사양/범위</t>
  </si>
  <si>
    <t>월 예상 (USD)</t>
  </si>
  <si>
    <t>단가</t>
  </si>
  <si>
    <t>No.</t>
  </si>
  <si>
    <t>추후 사용할 스펙 AWS 공식 Price List/요금 페이지. 월 744시간/서울리전 기준</t>
  </si>
  <si>
    <t>계산 근거</t>
  </si>
  <si>
    <t>출처</t>
  </si>
  <si>
    <t>컴퓨팅</t>
  </si>
  <si>
    <t>개선 항목</t>
  </si>
  <si>
    <t>기존 방식</t>
  </si>
  <si>
    <t>EC2</t>
  </si>
  <si>
    <t>개선 방식</t>
  </si>
  <si>
    <t>기존 월비용</t>
  </si>
  <si>
    <t>ap-northeast-2</t>
  </si>
  <si>
    <t>개선 월비용</t>
  </si>
  <si>
    <t>i-0f4ebb39e84735bb2</t>
  </si>
  <si>
    <t>월 절감액</t>
  </si>
  <si>
    <t>mp-eks-node</t>
  </si>
  <si>
    <t>절감률</t>
  </si>
  <si>
    <t>비고</t>
  </si>
  <si>
    <t>EC2 m7g.xlarge</t>
  </si>
  <si>
    <t>running</t>
  </si>
  <si>
    <t>Linux/UNIX</t>
  </si>
  <si>
    <t>컴퓨팅 아키텍처</t>
  </si>
  <si>
    <t>Intel/AMD x86
m7i.xlarge×2 + t3.xlarge×1</t>
  </si>
  <si>
    <t>Graviton
m7g.xlarge×2 + t4g.xlarge×1</t>
  </si>
  <si>
    <t>실행 744시간 × AWS Price List 온디맨드 단가</t>
  </si>
  <si>
    <t>AWS 서비스 API 직접 조회</t>
  </si>
  <si>
    <t>i-081c03fd82281e841</t>
  </si>
  <si>
    <t>mp-ci-server</t>
  </si>
  <si>
    <t>월 예상 비용 총합 (USD)</t>
  </si>
  <si>
    <t>EC2 t4g.xlarge</t>
  </si>
  <si>
    <t>i-0b28079e87febf176</t>
  </si>
  <si>
    <t>mp-dashboard</t>
  </si>
  <si>
    <t>EC2 t3.medium</t>
  </si>
  <si>
    <t>동급 사양 비교</t>
  </si>
  <si>
    <t>i-0c840eb9011d3f29b</t>
  </si>
  <si>
    <t>비동기 처리</t>
  </si>
  <si>
    <t>Kafka + Graviton + gp3 100GiB</t>
  </si>
  <si>
    <t>월 비용 산정 서비스</t>
  </si>
  <si>
    <t>EventBridge + SQS</t>
  </si>
  <si>
    <t>스토리지</t>
  </si>
  <si>
    <t>EBS</t>
  </si>
  <si>
    <t>vol-05fe7e8e1e3abbaf1</t>
  </si>
  <si>
    <t>mp-ebs-ci-docker</t>
  </si>
  <si>
    <t>요청량이 크지 않은 비동기 처리 기준</t>
  </si>
  <si>
    <t>gp3</t>
  </si>
  <si>
    <t>in-use</t>
  </si>
  <si>
    <t>60 GiB · IOPS 3000</t>
  </si>
  <si>
    <t>EBS 볼륨</t>
  </si>
  <si>
    <t>gp2 350GiB</t>
  </si>
  <si>
    <t>gp3 350GiB</t>
  </si>
  <si>
    <t>GB-month × AWS Price List gp3 단가</t>
  </si>
  <si>
    <t>추가 실측 기반 서비스</t>
  </si>
  <si>
    <t>vol-0e274819289db6807</t>
  </si>
  <si>
    <t>mp-eks-dynamic-pvc-8da72e60-c4b6-420c-bed2-a61091e0950c</t>
  </si>
  <si>
    <t>PPT 기준 동일 용량 비교</t>
  </si>
  <si>
    <t>32 GiB · IOPS 3000</t>
  </si>
  <si>
    <t>운영 방식</t>
  </si>
  <si>
    <t>ElastiCache + 완전관리형 DB/검색 계열</t>
  </si>
  <si>
    <t>ElastiCache 유지 + Graviton 기반 직접 운영</t>
  </si>
  <si>
    <t>vol-0f13422adfd78f1da</t>
  </si>
  <si>
    <t>mp-eks-dynamic-pvc-222105c1-e91e-485c-805b-e3a9d5dbd615</t>
  </si>
  <si>
    <t>20 GiB · IOPS 3000</t>
  </si>
  <si>
    <t>관리형 사용 범위를 줄인 시나리오</t>
  </si>
  <si>
    <t>모니터링</t>
  </si>
  <si>
    <t>AWS 관리형 중심 모니터링</t>
  </si>
  <si>
    <t>CloudWatch 제한 사용 + Prometheus/Grafana/Kubecost 직접 운영</t>
  </si>
  <si>
    <t>vol-03ea1ffa7007ca669</t>
  </si>
  <si>
    <t>mp-eks-dynamic-pvc-7b8de393-4de0-4d37-933f-5319e7a1ddaa</t>
  </si>
  <si>
    <t>64 GiB · IOPS 3000</t>
  </si>
  <si>
    <t>내부 모니터링 스택 활용</t>
  </si>
  <si>
    <t>실제 구성·스펙</t>
  </si>
  <si>
    <t>리소스 수</t>
  </si>
  <si>
    <t>AWS 적용 단가</t>
  </si>
  <si>
    <t>월 사용 기준</t>
  </si>
  <si>
    <t>월 예상 비용 (USD)</t>
  </si>
  <si>
    <t>vol-09385421128c9abed</t>
  </si>
  <si>
    <t>mp-eks-dynamic-pvc-6bc00f34-599e-4750-8f64-ee584a7fe7c6</t>
  </si>
  <si>
    <t>산정 범위/제외 항목</t>
  </si>
  <si>
    <t>AWS 공식 출처</t>
  </si>
  <si>
    <t>1 GiB · IOPS 3000</t>
  </si>
  <si>
    <t>비용 합계</t>
  </si>
  <si>
    <t>vol-0f8f42200eb748458</t>
  </si>
  <si>
    <t>개선 비용 합계</t>
  </si>
  <si>
    <t>mp-eks-dynamic-pvc-194fe2b5-6892-4f36-8f35-e8c69c1c383c</t>
  </si>
  <si>
    <t>10 GiB · IOPS 3000</t>
  </si>
  <si>
    <t>m7g.xlarge ×2 (mp-eks-node), t4g.xlarge ×1 (mp-ci-server), t3.medium ×1 (mp-dashboard), t3.micro ×1 (stopped)</t>
  </si>
  <si>
    <t>m7g.xlarge $0.2006/h; t4g.xlarge $0.1664/h; t3.medium $0.0520/h</t>
  </si>
  <si>
    <t>running 4대 × 744시간; stopped 1대 컴퓨팅 비용 0</t>
  </si>
  <si>
    <t>vol-053bb1edb01923a0d</t>
  </si>
  <si>
    <t>mp-ebs-ci-root</t>
  </si>
  <si>
    <t>30 GiB · IOPS 3000</t>
  </si>
  <si>
    <t>vol-04c65b842a240f882</t>
  </si>
  <si>
    <t>mp-eks-dynamic-pvc-50af5270-8aca-49a9-9c96-d059ce16ee04</t>
  </si>
  <si>
    <t>available</t>
  </si>
  <si>
    <t>vol-02d29d397a9acef60</t>
  </si>
  <si>
    <t>mp-eks-dynamic-pvc-d5e40876-0fa8-46f9-a3ba-ccdbfb4a9fe2</t>
  </si>
  <si>
    <t>\</t>
  </si>
  <si>
    <t>온디맨드 Linux/UNIX 기준; CPU Credit 추가 사용료 가능</t>
  </si>
  <si>
    <t>https://aws.amazon.com/ec2/pricing/on-demand/</t>
  </si>
  <si>
    <t>vol-0cd9ea36990e955f6</t>
  </si>
  <si>
    <t>mp-eks-dynamic-pvc-236f0e19-7eb7-4fcc-bd28-7e84d0ce4ea5</t>
  </si>
  <si>
    <t>2 GiB · IOPS 3000</t>
  </si>
  <si>
    <t>gp3 22개 · 총 530 GiB · 각 볼륨 기본 IOPS 3,000</t>
  </si>
  <si>
    <t>gp3 $0.08/GB-month (기본 3,000 IOPS 포함)</t>
  </si>
  <si>
    <t>총 530 GiB provisioned</t>
  </si>
  <si>
    <t>vol-04db46666435e58ce</t>
  </si>
  <si>
    <t>mp-ebs-ci-data</t>
  </si>
  <si>
    <t>50 GiB · IOPS 3000</t>
  </si>
  <si>
    <t>vol-0f5ea0f2b314be497</t>
  </si>
  <si>
    <t>mp-eks-dynamic-pvc-c2f49acf-f9ed-4bf5-9d37-050f8f394f14</t>
  </si>
  <si>
    <t>기본 3,000 IOPS 범위; 추가 IOPS/throughput 없음으로 계산</t>
  </si>
  <si>
    <t>https://aws.amazon.com/ebs/pricing/</t>
  </si>
  <si>
    <t>vol-011475fc769729570</t>
  </si>
  <si>
    <t>네트워크</t>
  </si>
  <si>
    <t>Public IPv4</t>
  </si>
  <si>
    <t>Elastic IP 4개 · 모두 associated</t>
  </si>
  <si>
    <t>$0.005/IP-hour</t>
  </si>
  <si>
    <t>4개 × 744시간</t>
  </si>
  <si>
    <t>vol-0059a00a1ebeb2b79</t>
  </si>
  <si>
    <t>mp-eks-dynamic-pvc-008deea9-a1e0-4c6f-9cb4-ba97bdb68767</t>
  </si>
  <si>
    <t>vol-0dc4384505c28c9a3</t>
  </si>
  <si>
    <t>mp-eks-dynamic-pvc-c54f925d-1dd2-4670-9f53-99f9bc89b154</t>
  </si>
  <si>
    <t>https://aws.amazon.com/vpc/pricing/</t>
  </si>
  <si>
    <t>vol-01acf313440ab855b</t>
  </si>
  <si>
    <t>mp-eks-dynamic-pvc-f7afa07f-6112-4585-8c0d-d9c6bdf91e93</t>
  </si>
  <si>
    <t>NAT Gateway</t>
  </si>
  <si>
    <t>NAT Gateway 1개 · mp-nat · ap-northeast-2</t>
  </si>
  <si>
    <t>$0.059/GW-hour + $0.059/GB 처리</t>
  </si>
  <si>
    <t>744시간 + 6일 데이터 처리비 실측을 31일 환산</t>
  </si>
  <si>
    <t>vol-0d0ed78c2bc99de5a</t>
  </si>
  <si>
    <t>mp-eks-dynamic-pvc-c79b952d-1e77-4124-96ef-62e7209cbf92</t>
  </si>
  <si>
    <t>NAT 데이터 처리비 포함 · 08-10~08-15 실측 사용량 기준 월 환산</t>
  </si>
  <si>
    <t>vol-04724941be7624166</t>
  </si>
  <si>
    <t>Application Load Balancer</t>
  </si>
  <si>
    <t>인터넷 공개형 ALB 1개 · mp-alb-public</t>
  </si>
  <si>
    <t>$0.0225/ALB-hour + $0.008/LCU-hour</t>
  </si>
  <si>
    <t>vol-0e02ab3013d19b73f</t>
  </si>
  <si>
    <t>744시간 + 6일 LCU 실측을 31일 환산</t>
  </si>
  <si>
    <t>LCU 비용 포함 · 08-10~08-15 실측 사용량 기준 월 환산</t>
  </si>
  <si>
    <t>vol-00f70a9297e46725f</t>
  </si>
  <si>
    <t>https://aws.amazon.com/elasticloadbalancing/pricing/</t>
  </si>
  <si>
    <t>mp-eks-dynamic-pvc-3290782b-12da-4bfc-b63b-8807f19c4e74</t>
  </si>
  <si>
    <t>데이터</t>
  </si>
  <si>
    <t>ElastiCache</t>
  </si>
  <si>
    <t>vol-0ce2a0284989d3ba6</t>
  </si>
  <si>
    <t>Valkey · cache.t4g.micro ×2</t>
  </si>
  <si>
    <t>mp-eks-dynamic-pvc-4c170a28-e6d0-4013-9bbf-51f637c8c61d</t>
  </si>
  <si>
    <t>$0.0192/node-hour</t>
  </si>
  <si>
    <t>2노드 × 744시간</t>
  </si>
  <si>
    <t>eipalloc-0d44939ee0cd3cce6</t>
  </si>
  <si>
    <t>Elastic IP</t>
  </si>
  <si>
    <t>associated</t>
  </si>
  <si>
    <t>eni-0c3bdf0263794e47c</t>
  </si>
  <si>
    <t>공인 IPv4 744시간 × $0.005</t>
  </si>
  <si>
    <t>노드 시간 비용 기준</t>
  </si>
  <si>
    <t>https://aws.amazon.com/elasticache/pricing/</t>
  </si>
  <si>
    <t>eipalloc-095ed31894e84754d</t>
  </si>
  <si>
    <t>eni-0e9c809a099013939</t>
  </si>
  <si>
    <t>VPC Endpoint</t>
  </si>
  <si>
    <t>Gateway(S3) ×2 + Interface(STS/SQS/Secrets Manager) ×3 · Interface는 각 2 AZ</t>
  </si>
  <si>
    <t>Gateway $0; Interface $0.013/AZ-hour + 데이터 처리량 별도</t>
  </si>
  <si>
    <t>Interface 3개 × 2 AZ × 744시간; Gateway 2개 $0</t>
  </si>
  <si>
    <t>eipalloc-03aef6218eed9b01f</t>
  </si>
  <si>
    <t>eni-03255932ae5a38d52</t>
  </si>
  <si>
    <t>Interface Endpoint 시간비 포함 · 데이터 처리비는 수집 파일에 별도 금액 없음</t>
  </si>
  <si>
    <t>https://aws.amazon.com/privatelink/pricing/</t>
  </si>
  <si>
    <t>eipalloc-09625065746b8164f</t>
  </si>
  <si>
    <t>컨테이너</t>
  </si>
  <si>
    <t>eni-03c985bced24a7b0c</t>
  </si>
  <si>
    <t>EKS Control Plane</t>
  </si>
  <si>
    <t>EKS 클러스터 1개 · mp-eks · 표준 지원</t>
  </si>
  <si>
    <t>$0.10/cluster-hour (표준 지원)</t>
  </si>
  <si>
    <t>1클러스터 × 744시간</t>
  </si>
  <si>
    <t>nat-0dcdcec898e31a423</t>
  </si>
  <si>
    <t>mp-nat</t>
  </si>
  <si>
    <t>subnet-051694c5fe4d0e1b6</t>
  </si>
  <si>
    <t>https://aws.amazon.com/eks/pricing/</t>
  </si>
  <si>
    <t>시간비 $0.059 × 744시간 + 08-10~08-15 NAT 데이터 처리 실측비 $0.362642 ÷ 6일 × 31일</t>
  </si>
  <si>
    <t>aws_cost_daily_summary_plain.xlsx 상세 내역 + 기존 AWS 단가표</t>
  </si>
  <si>
    <t>보안</t>
  </si>
  <si>
    <t>Secrets Manager</t>
  </si>
  <si>
    <t>Secret 11개</t>
  </si>
  <si>
    <t>mp-alb-public</t>
  </si>
  <si>
    <t>$0.40/secret-month + API 호출 별도</t>
  </si>
  <si>
    <t>ALB</t>
  </si>
  <si>
    <t>11개 × 1개월</t>
  </si>
  <si>
    <t>active</t>
  </si>
  <si>
    <t>internet-facing</t>
  </si>
  <si>
    <t>ALB 시간비 $0.0225 × 744시간 + 08-10~08-15 LCU 실측비 $0.000242 ÷ 6일 × 31일</t>
  </si>
  <si>
    <t>API 호출 비용 제외</t>
  </si>
  <si>
    <t>https://aws.amazon.com/secrets-manager/pricing/</t>
  </si>
  <si>
    <t>mp-cache-001</t>
  </si>
  <si>
    <t>cache.t4g.micro</t>
  </si>
  <si>
    <t>valkey</t>
  </si>
  <si>
    <t>Route 53</t>
  </si>
  <si>
    <t>Public Hosted Zone 1개 · newdrops.cloud · records 4</t>
  </si>
  <si>
    <t>노드 1개 × 744시간 × 노드 시간 단가</t>
  </si>
  <si>
    <t>$0.50/hosted-zone-month + DNS query 별도</t>
  </si>
  <si>
    <t>Hosted Zone 1개 × 1개월</t>
  </si>
  <si>
    <t>DNS query 비용 제외</t>
  </si>
  <si>
    <t>https://aws.amazon.com/route53/pricing/</t>
  </si>
  <si>
    <t>VPC</t>
  </si>
  <si>
    <t>VPC 4개 (ap-northeast-2 3개, us-east-1 1개)</t>
  </si>
  <si>
    <t>리소스 자체 고정 사용료 $0</t>
  </si>
  <si>
    <t>4개 리소스</t>
  </si>
  <si>
    <t>mp-cache-002</t>
  </si>
  <si>
    <t>해당 리소스 자체 고정 사용료 기준 $0</t>
  </si>
  <si>
    <t>Subnet</t>
  </si>
  <si>
    <t>Subnet 17개</t>
  </si>
  <si>
    <t>17개 리소스</t>
  </si>
  <si>
    <t>vpce-090a918b3a59d6ab8</t>
  </si>
  <si>
    <t>mp-vpce-ci-s3</t>
  </si>
  <si>
    <t>Gateway</t>
  </si>
  <si>
    <t>com.amazonaws.ap-northeast-2.s3 · 0 AZ</t>
  </si>
  <si>
    <t>Gateway Endpoint 자체 사용료 $0</t>
  </si>
  <si>
    <t>vpce-0ec59f760c2bd1282</t>
  </si>
  <si>
    <t>mp-vpce-s3</t>
  </si>
  <si>
    <t>Internet Gateway</t>
  </si>
  <si>
    <t>Internet Gateway 4개</t>
  </si>
  <si>
    <t>vpce-0abf45fa959ca25c0</t>
  </si>
  <si>
    <t>mp-vpce-sts</t>
  </si>
  <si>
    <t>Interface</t>
  </si>
  <si>
    <t>com.amazonaws.ap-northeast-2.sts · 2 AZ</t>
  </si>
  <si>
    <t>Route Table</t>
  </si>
  <si>
    <t>Route Table 8개</t>
  </si>
  <si>
    <t>8개 리소스</t>
  </si>
  <si>
    <t>Interface Endpoint 2 AZ × 744시간 × $0.013/AZ-hour = $19.344/월; 데이터 처리비 제외</t>
  </si>
  <si>
    <t>vpce-0372bec184461994f</t>
  </si>
  <si>
    <t>mp-vpce-sqs</t>
  </si>
  <si>
    <t>com.amazonaws.ap-northeast-2.sqs · 2 AZ</t>
  </si>
  <si>
    <t>Security Group</t>
  </si>
  <si>
    <t>Security Group 13개</t>
  </si>
  <si>
    <t>vpce-0252a21d62a579289</t>
  </si>
  <si>
    <t>mp-vpce-secretsmanager</t>
  </si>
  <si>
    <t>13개 리소스</t>
  </si>
  <si>
    <t>com.amazonaws.ap-northeast-2.secretsmanager · 2 AZ</t>
  </si>
  <si>
    <t>vpc-0cbc077b708599115</t>
  </si>
  <si>
    <t>mp-vpc-service</t>
  </si>
  <si>
    <t>10.10.0.0/16</t>
  </si>
  <si>
    <t>VPC 자체 사용료 $0</t>
  </si>
  <si>
    <t>Network ACL</t>
  </si>
  <si>
    <t>vpc-0c2c65e7dc87b7e67</t>
  </si>
  <si>
    <t>Network ACL 4개</t>
  </si>
  <si>
    <t>172.31.0.0/16</t>
  </si>
  <si>
    <t>vpc-0956da9710438ef92</t>
  </si>
  <si>
    <t>mp-vpc-ci</t>
  </si>
  <si>
    <t>10.11.0.0/16</t>
  </si>
  <si>
    <t>subnet-0aa43f0d46c8eb5c8</t>
  </si>
  <si>
    <t>mp-subnet-data-ap-northeast-2b</t>
  </si>
  <si>
    <t>ECR</t>
  </si>
  <si>
    <t>ECR Repository 18개 · 리포지토리당 이미지 1 GB 저장 가정</t>
  </si>
  <si>
    <t>10.10.33.0/24</t>
  </si>
  <si>
    <t>$0.10/GB-month</t>
  </si>
  <si>
    <t>18개 × 1 GB = 18 GB 저장</t>
  </si>
  <si>
    <t>Subnet 자체 사용료 $0</t>
  </si>
  <si>
    <t>subnet-084afc3164acd0e1c</t>
  </si>
  <si>
    <t>mp-subnet-ci-public</t>
  </si>
  <si>
    <t>동일 리전 이미지 Pull 전송료 $0 가정 · 실제 이미지 저장량에 따라 변동</t>
  </si>
  <si>
    <t>10.11.0.0/24</t>
  </si>
  <si>
    <t>https://aws.amazon.com/ecr/pricing/</t>
  </si>
  <si>
    <t>서버리스</t>
  </si>
  <si>
    <t>mp-subnet-public-ap-northeast-2a</t>
  </si>
  <si>
    <t>Lambda</t>
  </si>
  <si>
    <t>Lambda Function 11개 · 함수당 월 100,000회 · 512 MB · 평균 200 ms 실행 가정</t>
  </si>
  <si>
    <t>$0.20/100만 요청 + $0.0000166667/GB-second</t>
  </si>
  <si>
    <t>총 110만 호출 · 110,000 GB-second</t>
  </si>
  <si>
    <t>10.10.0.0/24</t>
  </si>
  <si>
    <t>subnet-05dd3778a7f5c0e57</t>
  </si>
  <si>
    <t>무료 티어 미적용한 보수적 계산 · 실제 호출 수/메모리/실행시간에 따라 변동</t>
  </si>
  <si>
    <t>https://aws.amazon.com/lambda/pricing/</t>
  </si>
  <si>
    <t>mp-subnet-data-ap-northeast-2a</t>
  </si>
  <si>
    <t>10.10.32.0/24</t>
  </si>
  <si>
    <t>메시징</t>
  </si>
  <si>
    <t>subnet-0d07175d6ee640010</t>
  </si>
  <si>
    <t>SQS</t>
  </si>
  <si>
    <t>Queue 11개 · 큐당 월 100,000 요청 가정</t>
  </si>
  <si>
    <t>mp-subnet-node-ap-northeast-2b</t>
  </si>
  <si>
    <t>$0.40/100만 Standard 요청 가정</t>
  </si>
  <si>
    <t>총 110만 요청</t>
  </si>
  <si>
    <t>10.10.80.0/20</t>
  </si>
  <si>
    <t>subnet-0ff0f1728991239bf</t>
  </si>
  <si>
    <t>무료 티어 미적용 · Standard Queue 기준 · payload 64 KB 이하 가정</t>
  </si>
  <si>
    <t>https://aws.amazon.com/sqs/pricing/</t>
  </si>
  <si>
    <t>172.31.32.0/20</t>
  </si>
  <si>
    <t>S3</t>
  </si>
  <si>
    <t>Bucket 17개 · 버킷당 평균 1 GB S3 Standard 저장 가정</t>
  </si>
  <si>
    <t>$0.025/GB-month (서울 S3 Standard 가정)</t>
  </si>
  <si>
    <t>subnet-084a72faf36293e15</t>
  </si>
  <si>
    <t>17개 × 1 GB = 17 GB 저장</t>
  </si>
  <si>
    <t>mp-subnet-node-ap-northeast-2a</t>
  </si>
  <si>
    <t>10.10.64.0/20</t>
  </si>
  <si>
    <t>저장 비용만 산정 · PUT/GET·인터넷 전송량은 사용량 미수집으로 제외</t>
  </si>
  <si>
    <t>https://aws.amazon.com/s3/pricing/</t>
  </si>
  <si>
    <t>subnet-018f515c2299bb994</t>
  </si>
  <si>
    <t>172.31.16.0/20</t>
  </si>
  <si>
    <t>CloudWatch Logs</t>
  </si>
  <si>
    <t>EKS control-plane / Glue 로그 수집</t>
  </si>
  <si>
    <t>$0.76/GB 수집 기준(수집 파일 스펙)</t>
  </si>
  <si>
    <t>08-10~08-15 실측비 $4.173597 → 31일 환산</t>
  </si>
  <si>
    <t>subnet-067b4c416bb97806f</t>
  </si>
  <si>
    <t>평균 사용량과 비교</t>
  </si>
  <si>
    <t>172.31.0.0/20</t>
  </si>
  <si>
    <t>aws_cost_daily_summary_plain.xlsx</t>
  </si>
  <si>
    <t>subnet-0d5bce5817ac89e05</t>
  </si>
  <si>
    <t>mp-subnet-public-ap-northeast-2b</t>
  </si>
  <si>
    <t>AI</t>
  </si>
  <si>
    <t>Amazon Bedrock</t>
  </si>
  <si>
    <t>Nova Micro + Titan V2 · 6일 총 85회 호출</t>
  </si>
  <si>
    <t>10.10.1.0/24</t>
  </si>
  <si>
    <t>입·출력 토큰 사용량 기반</t>
  </si>
  <si>
    <t>08-10~08-15 실측비 $0.016776 → 31일 환산</t>
  </si>
  <si>
    <t>실측 6일 비용을 31일로 환산한 월 예상치</t>
  </si>
  <si>
    <t>subnet-050de238c2a3c75c8</t>
  </si>
  <si>
    <t>172.31.48.0/20</t>
  </si>
  <si>
    <t>월 예상 비용 합계 (기존 리소스 + CloudWatch/Bedrock + 실측 변동비 반영)</t>
  </si>
  <si>
    <t>igw-03b67a3e5209d18f1</t>
  </si>
  <si>
    <t>attached</t>
  </si>
  <si>
    <t>132</t>
  </si>
  <si>
    <t>Internet Gateway 자체 사용료 $0</t>
  </si>
  <si>
    <t>igw-05b992ea7d74f0d2a</t>
  </si>
  <si>
    <t>mp-igw-service</t>
  </si>
  <si>
    <t>igw-0a0f4d89bb6836bca</t>
  </si>
  <si>
    <t>mp-igw-ci</t>
  </si>
  <si>
    <t>rtb-062f5da7c5c86749f</t>
  </si>
  <si>
    <t>mp-rt-public</t>
  </si>
  <si>
    <t>routes 2</t>
  </si>
  <si>
    <t>Route Table 자체 사용료 $0</t>
  </si>
  <si>
    <t>rtb-090453f4f032d43f1</t>
  </si>
  <si>
    <t>mp-rt-ci-public</t>
  </si>
  <si>
    <t>routes 3</t>
  </si>
  <si>
    <t>rtb-0562be60860efa343</t>
  </si>
  <si>
    <t>mp-rt-node</t>
  </si>
  <si>
    <t>rtb-0f1fcc558cc3a70ff</t>
  </si>
  <si>
    <t>routes 1</t>
  </si>
  <si>
    <t>rtb-0733b4cc5f321db4d</t>
  </si>
  <si>
    <t>rtb-005fffc0725311b07</t>
  </si>
  <si>
    <t>mp-rt-data</t>
  </si>
  <si>
    <t>rtb-03d73752ca0160aea</t>
  </si>
  <si>
    <t>sg-0eec7e6d1d5235cb4</t>
  </si>
  <si>
    <t>default</t>
  </si>
  <si>
    <t>Security Group 자체 사용료 $0</t>
  </si>
  <si>
    <t>sg-0ee6bce7a8ba693f6</t>
  </si>
  <si>
    <t>mp-sg-alb-public</t>
  </si>
  <si>
    <t>sg-0b871c2bf76409a71</t>
  </si>
  <si>
    <t>mp-sg-eks-node</t>
  </si>
  <si>
    <t>sg-06b5470daa77b9cab</t>
  </si>
  <si>
    <t>mp-sg-dashboard</t>
  </si>
  <si>
    <t>sg-0b0a9f739f0b31d47</t>
  </si>
  <si>
    <t>mp-sg-elasticache</t>
  </si>
  <si>
    <t>sg-01c4f2e32fc1c63c1</t>
  </si>
  <si>
    <t>mp-ai-lambda</t>
  </si>
  <si>
    <t>sg-05722543de764c424</t>
  </si>
  <si>
    <t>sg-03002b031f3632a43</t>
  </si>
  <si>
    <t>mp-sg-vpce</t>
  </si>
  <si>
    <t>sg-03e2feff54b56505a</t>
  </si>
  <si>
    <t>mp-sg-ci</t>
  </si>
  <si>
    <t>sg-0d05a1c4fb4f7525f</t>
  </si>
  <si>
    <t>sg-0df3215fe501b0f58</t>
  </si>
  <si>
    <t>eks-cluster-sg-mp-eks-1069514397</t>
  </si>
  <si>
    <t>acl-012a6ecca00ef328f</t>
  </si>
  <si>
    <t>Network ACL 자체 사용료 $0</t>
  </si>
  <si>
    <t>acl-08e6e2ca1fd01aeb9</t>
  </si>
  <si>
    <t>acl-0ee904fd36f031494</t>
  </si>
  <si>
    <t>mealplanning/mp-notify-service</t>
  </si>
  <si>
    <t>Repository</t>
  </si>
  <si>
    <t>1 GB 이미지 저장 가정</t>
  </si>
  <si>
    <t>Repository당 1 GB × $0.10/GB-month = $0.10/월 (추정)</t>
  </si>
  <si>
    <t>mealplanning/mp-pgsync</t>
  </si>
  <si>
    <t>mealplanning/mp-video-service</t>
  </si>
  <si>
    <t>mealplanning/mp-price-service</t>
  </si>
  <si>
    <t>mealplanning/mp-operations-service</t>
  </si>
  <si>
    <t>mealplanning/mp-account-service</t>
  </si>
  <si>
    <t>mealplanning/mp-chat-service</t>
  </si>
  <si>
    <t>mealplanning/mp-frontend</t>
  </si>
  <si>
    <t>mealplanning/mp-ranking-serving</t>
  </si>
  <si>
    <t>mealplanning/mp-recipebook-service</t>
  </si>
  <si>
    <t>mealplanning/mp-ocr-service</t>
  </si>
  <si>
    <t>mealplanning/mp-crawler-kurly</t>
  </si>
  <si>
    <t>mealplanning/mp-data-pipeline</t>
  </si>
  <si>
    <t>mealplanning/mp-elasticsearch-nori</t>
  </si>
  <si>
    <t>mealplanning/mp-mealplan-service</t>
  </si>
  <si>
    <t>mealplanning/mp-rollouts-gatewayapi-plugin</t>
  </si>
  <si>
    <t>mealplanning/mp-pantry-service</t>
  </si>
  <si>
    <t>mealplanning/mp-recipe-service</t>
  </si>
  <si>
    <t>mp-ai-sentiment-batch</t>
  </si>
  <si>
    <t>Function</t>
  </si>
  <si>
    <t>월 100,000회 · 512 MB · 평균 200 ms 가정</t>
  </si>
  <si>
    <t>100,000회 요청비 + 10,000 GB-second 컴퓨팅 = 약 $0.1867/월 (추정)</t>
  </si>
  <si>
    <t>mp-ai-shelflife-draft</t>
  </si>
  <si>
    <t>mp-ai-video-worker</t>
  </si>
  <si>
    <t>mp-ai-ocr-worker</t>
  </si>
  <si>
    <t>mp-ai-chat-api</t>
  </si>
  <si>
    <t>mp-ai-price-detect</t>
  </si>
  <si>
    <t>mp-security-notifier</t>
  </si>
  <si>
    <t>mp-ai-ner-backfill</t>
  </si>
  <si>
    <t>mp-ai-summarize-batch</t>
  </si>
  <si>
    <t>mp-ai-video-api</t>
  </si>
  <si>
    <t>mp-ai-ocr-api</t>
  </si>
  <si>
    <t>mp/prod/repo-mealplanning-config</t>
  </si>
  <si>
    <t>Secret</t>
  </si>
  <si>
    <t>월별 Secret 수</t>
  </si>
  <si>
    <t>Secret 1개 × $0.40/month; API 호출량 제외</t>
  </si>
  <si>
    <t>mp/prod/cloudflared-gitlab</t>
  </si>
  <si>
    <t>mp/prod/data-secrets</t>
  </si>
  <si>
    <t>mp/prod/pg-roles</t>
  </si>
  <si>
    <t>mp/prod/app-secrets</t>
  </si>
  <si>
    <t>mp/prod/observability-secrets</t>
  </si>
  <si>
    <t>mp/prod/alertmanager-slack</t>
  </si>
  <si>
    <t>mp/prod/cloudflared-argocd</t>
  </si>
  <si>
    <t>mp/prod/pipeline-secrets</t>
  </si>
  <si>
    <t>mp/prod/security-slack-webhook</t>
  </si>
  <si>
    <t>mp-ai/runtime</t>
  </si>
  <si>
    <t>mp-ai-ocr-jobs</t>
  </si>
  <si>
    <t>Queue</t>
  </si>
  <si>
    <t>월 100,000 Standard 요청 가정</t>
  </si>
  <si>
    <t>Queue당 100,000 요청 ÷ 1,000,000 × $0.40 = $0.04/월 (추정)</t>
  </si>
  <si>
    <t>mp-ai-ocr-jobs-dlq</t>
  </si>
  <si>
    <t>mp-ai-video-jobs</t>
  </si>
  <si>
    <t>mp-ai-video-jobs-dlq</t>
  </si>
  <si>
    <t>mp-crawl-deal</t>
  </si>
  <si>
    <t>mp-crawl-deal-dlq</t>
  </si>
  <si>
    <t>mp-crawl-recipe</t>
  </si>
  <si>
    <t>mp-crawl-recipe-dlq</t>
  </si>
  <si>
    <t>mp-crawl-retail</t>
  </si>
  <si>
    <t>mp-crawl-retail-dlq</t>
  </si>
  <si>
    <t>mp-karpenter-interruption</t>
  </si>
  <si>
    <t>us-east-1</t>
  </si>
  <si>
    <t>i-05d33c1380e6985cb</t>
  </si>
  <si>
    <t>myweb-team6</t>
  </si>
  <si>
    <t>EC2 t3.micro</t>
  </si>
  <si>
    <t>stopped</t>
  </si>
  <si>
    <t>vol-0ff2c88cbc708d79b</t>
  </si>
  <si>
    <t>vpc-0ef045179c02f4d84</t>
  </si>
  <si>
    <t>subnet-0f8d19b69c35afcc8</t>
  </si>
  <si>
    <t>172.31.64.0/20</t>
  </si>
  <si>
    <t>subnet-0276b569e6af0acea</t>
  </si>
  <si>
    <t>subnet-037b36dd12ae10805</t>
  </si>
  <si>
    <t>subnet-05fddf5ea3d1ee2fd</t>
  </si>
  <si>
    <t>subnet-0bb551d5313826cc7</t>
  </si>
  <si>
    <t>subnet-0f27e80497856a72a</t>
  </si>
  <si>
    <t>172.31.80.0/20</t>
  </si>
  <si>
    <t>igw-0522455df434d945e</t>
  </si>
  <si>
    <t>rtb-0f7e090ded49702a3</t>
  </si>
  <si>
    <t>sg-0e34d0153d9841230</t>
  </si>
  <si>
    <t>myweb-team6-sg</t>
  </si>
  <si>
    <t>sg-048aee85e342e3f50</t>
  </si>
  <si>
    <t>acl-039d3271cd27633a5</t>
  </si>
  <si>
    <t>mp-eks</t>
  </si>
  <si>
    <t>EKS Cluster</t>
  </si>
  <si>
    <t>표준 지원</t>
  </si>
  <si>
    <t>EKS 제어 플레인 744시간 × $0.10</t>
  </si>
  <si>
    <t>global</t>
  </si>
  <si>
    <t>cf-templates-q9y0xhh3v8t0-us-west-2</t>
  </si>
  <si>
    <t>Bucket</t>
  </si>
  <si>
    <t>1 GB S3 Standard 저장 가정</t>
  </si>
  <si>
    <t>Bucket당 1 GB × $0.025/GB-month = $0.025/월 (추정, 요청/전송 제외)</t>
  </si>
  <si>
    <t>mp-ai-model-ap2</t>
  </si>
  <si>
    <t>mp-ai-tfstate-ap2</t>
  </si>
  <si>
    <t>mp-ai-uploads-ap2</t>
  </si>
  <si>
    <t>mp-backup-ap2</t>
  </si>
  <si>
    <t>mp-cloudtrail-ap2</t>
  </si>
  <si>
    <t>mp-crawl-ap2</t>
  </si>
  <si>
    <t>mp-dashboard-tfstate-ap2</t>
  </si>
  <si>
    <t>mp-etcd-backup-ap2</t>
  </si>
  <si>
    <t>mp-image-backup-ap2</t>
  </si>
  <si>
    <t>mp-observability-eks</t>
  </si>
  <si>
    <t>mp-pg-dump-ap2</t>
  </si>
  <si>
    <t>mp-source-backup-ap2</t>
  </si>
  <si>
    <t>mp-ssm-transfer-ap2</t>
  </si>
  <si>
    <t>newdrops.cloud</t>
  </si>
  <si>
    <t>/hostedzone/Z01831942HJZNMC7L1J81</t>
  </si>
  <si>
    <t>Hosted Zone</t>
  </si>
  <si>
    <t>records 4</t>
  </si>
  <si>
    <t>Hosted Zone 1개 × $0.50/month; DNS 쿼리 제외</t>
  </si>
  <si>
    <t>AWS/Logs usage aggregate</t>
  </si>
  <si>
    <t>EKS control-plane / Glue logs</t>
  </si>
  <si>
    <t>Log ingestion</t>
  </si>
  <si>
    <t>08-10~08-15 수집비 $4.173597 · 주 사용량 5.49 GB 로그 수집</t>
  </si>
  <si>
    <t>6일 실측비 $4.173597 ÷ 6일 × 31일 = 월 환산</t>
  </si>
  <si>
    <t>aws_cost_daily_summary_plain.xlsx 상세 내역</t>
  </si>
  <si>
    <t>Bedrock usage aggregate</t>
  </si>
  <si>
    <t>Nova Micro + Titan V2</t>
  </si>
  <si>
    <t>Model inference</t>
  </si>
  <si>
    <t>08-10~08-15 총 85회 · 입력 302,337 / 출력 26,708 토큰</t>
  </si>
  <si>
    <t>토큰 사용량 기반(수집 파일 계산값)</t>
  </si>
  <si>
    <t>6일 실측비 $0.016776 ÷ 6일 × 31일 = 월 환산</t>
  </si>
  <si>
    <t>arn:aws:elasticloadbalancing:ap-northeast-2:&lt;ACCOUNT_ID&gt;:loadbalancer/app/mp-alb-public/764f4168e39fe43d</t>
  </si>
  <si>
    <t>arn:aws:ecr:ap-northeast-2:&lt;ACCOUNT_ID&gt;:repository/mealplanning/mp-notify-service</t>
  </si>
  <si>
    <t>arn:aws:ecr:ap-northeast-2:&lt;ACCOUNT_ID&gt;:repository/mealplanning/mp-pgsync</t>
  </si>
  <si>
    <t>arn:aws:ecr:ap-northeast-2:&lt;ACCOUNT_ID&gt;:repository/mealplanning/mp-video-service</t>
  </si>
  <si>
    <t>arn:aws:ecr:ap-northeast-2:&lt;ACCOUNT_ID&gt;:repository/mealplanning/mp-price-service</t>
  </si>
  <si>
    <t>arn:aws:ecr:ap-northeast-2:&lt;ACCOUNT_ID&gt;:repository/mealplanning/mp-operations-service</t>
  </si>
  <si>
    <t>arn:aws:ecr:ap-northeast-2:&lt;ACCOUNT_ID&gt;:repository/mealplanning/mp-account-service</t>
  </si>
  <si>
    <t>arn:aws:ecr:ap-northeast-2:&lt;ACCOUNT_ID&gt;:repository/mealplanning/mp-chat-service</t>
  </si>
  <si>
    <t>arn:aws:ecr:ap-northeast-2:&lt;ACCOUNT_ID&gt;:repository/mealplanning/mp-frontend</t>
  </si>
  <si>
    <t>arn:aws:ecr:ap-northeast-2:&lt;ACCOUNT_ID&gt;:repository/mealplanning/mp-ranking-serving</t>
  </si>
  <si>
    <t>arn:aws:ecr:ap-northeast-2:&lt;ACCOUNT_ID&gt;:repository/mealplanning/mp-recipebook-service</t>
  </si>
  <si>
    <t>arn:aws:ecr:ap-northeast-2:&lt;ACCOUNT_ID&gt;:repository/mealplanning/mp-ocr-service</t>
  </si>
  <si>
    <t>arn:aws:ecr:ap-northeast-2:&lt;ACCOUNT_ID&gt;:repository/mealplanning/mp-crawler-kurly</t>
  </si>
  <si>
    <t>arn:aws:ecr:ap-northeast-2:&lt;ACCOUNT_ID&gt;:repository/mealplanning/mp-data-pipeline</t>
  </si>
  <si>
    <t>arn:aws:ecr:ap-northeast-2:&lt;ACCOUNT_ID&gt;:repository/mealplanning/mp-elasticsearch-nori</t>
  </si>
  <si>
    <t>arn:aws:ecr:ap-northeast-2:&lt;ACCOUNT_ID&gt;:repository/mealplanning/mp-mealplan-service</t>
  </si>
  <si>
    <t>arn:aws:ecr:ap-northeast-2:&lt;ACCOUNT_ID&gt;:repository/mealplanning/mp-rollouts-gatewayapi-plugin</t>
  </si>
  <si>
    <t>arn:aws:ecr:ap-northeast-2:&lt;ACCOUNT_ID&gt;:repository/mealplanning/mp-pantry-service</t>
  </si>
  <si>
    <t>arn:aws:ecr:ap-northeast-2:&lt;ACCOUNT_ID&gt;:repository/mealplanning/mp-recipe-service</t>
  </si>
  <si>
    <t>arn:aws:lambda:ap-northeast-2:&lt;ACCOUNT_ID&gt;:function:mp-ai-sentiment-batch</t>
  </si>
  <si>
    <t>arn:aws:lambda:ap-northeast-2:&lt;ACCOUNT_ID&gt;:function:mp-ai-shelflife-draft</t>
  </si>
  <si>
    <t>arn:aws:lambda:ap-northeast-2:&lt;ACCOUNT_ID&gt;:function:mp-ai-video-worker</t>
  </si>
  <si>
    <t>arn:aws:lambda:ap-northeast-2:&lt;ACCOUNT_ID&gt;:function:mp-ai-ocr-worker</t>
  </si>
  <si>
    <t>arn:aws:lambda:ap-northeast-2:&lt;ACCOUNT_ID&gt;:function:mp-ai-chat-api</t>
  </si>
  <si>
    <t>arn:aws:lambda:ap-northeast-2:&lt;ACCOUNT_ID&gt;:function:mp-ai-price-detect</t>
  </si>
  <si>
    <t>arn:aws:lambda:ap-northeast-2:&lt;ACCOUNT_ID&gt;:function:mp-security-notifier</t>
  </si>
  <si>
    <t>arn:aws:lambda:ap-northeast-2:&lt;ACCOUNT_ID&gt;:function:mp-ai-ner-backfill</t>
  </si>
  <si>
    <t>arn:aws:lambda:ap-northeast-2:&lt;ACCOUNT_ID&gt;:function:mp-ai-summarize-batch</t>
  </si>
  <si>
    <t>arn:aws:lambda:ap-northeast-2:&lt;ACCOUNT_ID&gt;:function:mp-ai-video-api</t>
  </si>
  <si>
    <t>arn:aws:lambda:ap-northeast-2:&lt;ACCOUNT_ID&gt;:function:mp-ai-ocr-api</t>
  </si>
  <si>
    <t>arn:aws:secretsmanager:ap-northeast-2:&lt;ACCOUNT_ID&gt;:secret:mp/prod/repo-mealplanning-config-RPJhK5</t>
  </si>
  <si>
    <t>arn:aws:secretsmanager:ap-northeast-2:&lt;ACCOUNT_ID&gt;:secret:mp/prod/cloudflared-gitlab-vN5seY</t>
  </si>
  <si>
    <t>arn:aws:secretsmanager:ap-northeast-2:&lt;ACCOUNT_ID&gt;:secret:mp/prod/data-secrets-O3bPAb</t>
  </si>
  <si>
    <t>arn:aws:secretsmanager:ap-northeast-2:&lt;ACCOUNT_ID&gt;:secret:mp/prod/pg-roles-DFWt5o</t>
  </si>
  <si>
    <t>arn:aws:secretsmanager:ap-northeast-2:&lt;ACCOUNT_ID&gt;:secret:mp/prod/app-secrets-zLtXVg</t>
  </si>
  <si>
    <t>arn:aws:secretsmanager:ap-northeast-2:&lt;ACCOUNT_ID&gt;:secret:mp/prod/observability-secrets-dH18d3</t>
  </si>
  <si>
    <t>arn:aws:secretsmanager:ap-northeast-2:&lt;ACCOUNT_ID&gt;:secret:mp/prod/alertmanager-slack-3gfUZ1</t>
  </si>
  <si>
    <t>arn:aws:secretsmanager:ap-northeast-2:&lt;ACCOUNT_ID&gt;:secret:mp/prod/cloudflared-argocd-Vr7RIQ</t>
  </si>
  <si>
    <t>arn:aws:secretsmanager:ap-northeast-2:&lt;ACCOUNT_ID&gt;:secret:mp/prod/pipeline-secrets-DsZNSZ</t>
  </si>
  <si>
    <t>arn:aws:secretsmanager:ap-northeast-2:&lt;ACCOUNT_ID&gt;:secret:mp/prod/security-slack-webhook-DvTyPq</t>
  </si>
  <si>
    <t>arn:aws:secretsmanager:ap-northeast-2:&lt;ACCOUNT_ID&gt;:secret:mp-ai/runtime-6d892E</t>
  </si>
  <si>
    <t>https://sqs.ap-northeast-2.amazonaws.com/&lt;ACCOUNT_ID&gt;/mp-ai-ocr-jobs</t>
  </si>
  <si>
    <t>https://sqs.ap-northeast-2.amazonaws.com/&lt;ACCOUNT_ID&gt;/mp-ai-ocr-jobs-dlq</t>
  </si>
  <si>
    <t>https://sqs.ap-northeast-2.amazonaws.com/&lt;ACCOUNT_ID&gt;/mp-ai-video-jobs</t>
  </si>
  <si>
    <t>https://sqs.ap-northeast-2.amazonaws.com/&lt;ACCOUNT_ID&gt;/mp-ai-video-jobs-dlq</t>
  </si>
  <si>
    <t>https://sqs.ap-northeast-2.amazonaws.com/&lt;ACCOUNT_ID&gt;/mp-crawl-deal</t>
  </si>
  <si>
    <t>https://sqs.ap-northeast-2.amazonaws.com/&lt;ACCOUNT_ID&gt;/mp-crawl-deal-dlq</t>
  </si>
  <si>
    <t>https://sqs.ap-northeast-2.amazonaws.com/&lt;ACCOUNT_ID&gt;/mp-crawl-recipe</t>
  </si>
  <si>
    <t>https://sqs.ap-northeast-2.amazonaws.com/&lt;ACCOUNT_ID&gt;/mp-crawl-recipe-dlq</t>
  </si>
  <si>
    <t>https://sqs.ap-northeast-2.amazonaws.com/&lt;ACCOUNT_ID&gt;/mp-crawl-retail</t>
  </si>
  <si>
    <t>https://sqs.ap-northeast-2.amazonaws.com/&lt;ACCOUNT_ID&gt;/mp-crawl-retail-dlq</t>
  </si>
  <si>
    <t>https://sqs.ap-northeast-2.amazonaws.com/&lt;ACCOUNT_ID&gt;/mp-karpenter-interruption</t>
  </si>
  <si>
    <t>haimedia-finops-athena-results-&lt;ACCOUNT_ID&gt;-apne2</t>
  </si>
  <si>
    <t>haimedia-finops-cur-&lt;ACCOUNT_ID&gt;-apne2</t>
  </si>
  <si>
    <t>&lt;EIP&gt;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</si>
</sst>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$0.0000"/>
    <numFmt numFmtId="177" formatCode="\$0.00"/>
    <numFmt numFmtId="178" formatCode="0.0%"/>
  </numFmts>
  <fonts count="7">
    <font>
      <sz val="10"/>
      <color rgb="FF000000"/>
      <name val="Carlito"/>
      <scheme val="minor"/>
    </font>
    <font>
      <b/>
      <sz val="11"/>
      <color rgb="FF000000"/>
      <name val="Carlito"/>
      <family val="3"/>
      <charset val="129"/>
    </font>
    <font>
      <sz val="10"/>
      <color rgb="FF000000"/>
      <name val="Calibri"/>
      <family val="2"/>
    </font>
    <font>
      <sz val="10"/>
      <color theme="1"/>
      <name val="Carlito"/>
      <family val="3"/>
      <charset val="129"/>
      <scheme val="minor"/>
    </font>
    <font>
      <sz val="11"/>
      <color rgb="FF000000"/>
      <name val="Carlito"/>
      <family val="3"/>
      <charset val="129"/>
    </font>
    <font>
      <b/>
      <sz val="10"/>
      <color rgb="FF000000"/>
      <name val="Calibri"/>
      <family val="2"/>
    </font>
    <font>
      <sz val="8"/>
      <name val="Carlito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left" vertical="center" wrapText="1"/>
    </xf>
    <xf numFmtId="177" fontId="4" fillId="0" borderId="0" xfId="0" applyNumberFormat="1" applyFont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/>
    </xf>
    <xf numFmtId="177" fontId="1" fillId="0" borderId="0" xfId="0" applyNumberFormat="1" applyFont="1" applyAlignment="1">
      <alignment horizontal="left" vertical="center" wrapText="1"/>
    </xf>
    <xf numFmtId="178" fontId="1" fillId="0" borderId="0" xfId="0" applyNumberFormat="1" applyFont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top" wrapText="1"/>
    </xf>
    <xf numFmtId="177" fontId="2" fillId="0" borderId="0" xfId="0" applyNumberFormat="1" applyFont="1" applyAlignment="1">
      <alignment horizontal="left" vertical="center" wrapText="1"/>
    </xf>
    <xf numFmtId="176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77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0000FF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sqref="A1:J1"/>
    </sheetView>
  </sheetViews>
  <sheetFormatPr defaultColWidth="14.42578125" defaultRowHeight="15" customHeight="1"/>
  <cols>
    <col min="1" max="1" width="19.42578125" customWidth="1"/>
    <col min="2" max="2" width="13.7109375" customWidth="1"/>
    <col min="3" max="3" width="28.5703125" customWidth="1"/>
    <col min="4" max="4" width="48" customWidth="1"/>
    <col min="5" max="5" width="12.5703125" customWidth="1"/>
    <col min="6" max="6" width="40" customWidth="1"/>
    <col min="7" max="7" width="34.28515625" customWidth="1"/>
    <col min="8" max="8" width="20.5703125" customWidth="1"/>
    <col min="9" max="9" width="52.5703125" customWidth="1"/>
    <col min="10" max="10" width="38.85546875" customWidth="1"/>
    <col min="11" max="26" width="10.42578125" customWidth="1"/>
  </cols>
  <sheetData>
    <row r="1" spans="1:26" ht="33.75" customHeight="1">
      <c r="A1" s="26" t="s">
        <v>2</v>
      </c>
      <c r="B1" s="27"/>
      <c r="C1" s="27"/>
      <c r="D1" s="27"/>
      <c r="E1" s="27"/>
      <c r="F1" s="27"/>
      <c r="G1" s="27"/>
      <c r="H1" s="27"/>
      <c r="I1" s="27"/>
      <c r="J1" s="2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75" customHeight="1">
      <c r="A2" s="26" t="s">
        <v>14</v>
      </c>
      <c r="B2" s="27"/>
      <c r="C2" s="27"/>
      <c r="D2" s="27"/>
      <c r="E2" s="27"/>
      <c r="F2" s="27"/>
      <c r="G2" s="27"/>
      <c r="H2" s="27"/>
      <c r="I2" s="27"/>
      <c r="J2" s="2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7.75" customHeight="1">
      <c r="A4" s="10" t="s">
        <v>40</v>
      </c>
      <c r="B4" s="13">
        <f>G29</f>
        <v>773.04349816666672</v>
      </c>
      <c r="C4" s="10"/>
      <c r="D4" s="10" t="s">
        <v>49</v>
      </c>
      <c r="E4" s="14">
        <f>COUNTA(B7:B28)</f>
        <v>22</v>
      </c>
      <c r="F4" s="10"/>
      <c r="G4" s="10" t="s">
        <v>63</v>
      </c>
      <c r="H4" s="14">
        <v>2</v>
      </c>
      <c r="I4" s="1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6" customHeight="1">
      <c r="A5" s="1"/>
      <c r="B5" s="1"/>
      <c r="C5" s="1"/>
      <c r="D5" s="1"/>
      <c r="E5" s="1"/>
      <c r="F5" s="1"/>
      <c r="G5" s="1"/>
      <c r="H5" s="1"/>
      <c r="I5" s="1"/>
      <c r="J5" s="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>
      <c r="A6" s="15" t="s">
        <v>1</v>
      </c>
      <c r="B6" s="15" t="s">
        <v>3</v>
      </c>
      <c r="C6" s="15" t="s">
        <v>82</v>
      </c>
      <c r="D6" s="15" t="s">
        <v>83</v>
      </c>
      <c r="E6" s="15" t="s">
        <v>84</v>
      </c>
      <c r="F6" s="15" t="s">
        <v>85</v>
      </c>
      <c r="G6" s="15" t="s">
        <v>86</v>
      </c>
      <c r="H6" s="15" t="s">
        <v>89</v>
      </c>
      <c r="I6" s="15" t="s">
        <v>90</v>
      </c>
      <c r="J6" s="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1.5" customHeight="1">
      <c r="A7" s="16" t="s">
        <v>17</v>
      </c>
      <c r="B7" s="16" t="s">
        <v>20</v>
      </c>
      <c r="C7" s="16" t="s">
        <v>97</v>
      </c>
      <c r="D7" s="15">
        <v>5</v>
      </c>
      <c r="E7" s="16" t="s">
        <v>98</v>
      </c>
      <c r="F7" s="16" t="s">
        <v>99</v>
      </c>
      <c r="G7" s="8">
        <f>IF(COUNTIFS('aws 전체 실질적 리소스 사용'!$B$2:$B$165,B7,'aws 전체 실질적 리소스 사용'!$I$2:$I$165,"&lt;&gt;")=0,"미산정",SUMIF('aws 전체 실질적 리소스 사용'!$B$2:$B$165,B7,'aws 전체 실질적 리소스 사용'!$I$2:$I$165))</f>
        <v>460.98239999999998</v>
      </c>
      <c r="H7" s="16" t="s">
        <v>109</v>
      </c>
      <c r="I7" s="18" t="s">
        <v>110</v>
      </c>
      <c r="J7" s="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3.5" customHeight="1">
      <c r="A8" s="16" t="s">
        <v>51</v>
      </c>
      <c r="B8" s="16" t="s">
        <v>52</v>
      </c>
      <c r="C8" s="16" t="s">
        <v>114</v>
      </c>
      <c r="D8" s="15">
        <v>22</v>
      </c>
      <c r="E8" s="16" t="s">
        <v>115</v>
      </c>
      <c r="F8" s="16" t="s">
        <v>116</v>
      </c>
      <c r="G8" s="8">
        <f>IF(COUNTIFS('aws 전체 실질적 리소스 사용'!$B$2:$B$165,B8,'aws 전체 실질적 리소스 사용'!$I$2:$I$165,"&lt;&gt;")=0,"미산정",SUMIF('aws 전체 실질적 리소스 사용'!$B$2:$B$165,B8,'aws 전체 실질적 리소스 사용'!$I$2:$I$165))</f>
        <v>42.399999999999991</v>
      </c>
      <c r="H8" s="16" t="s">
        <v>122</v>
      </c>
      <c r="I8" s="18" t="s">
        <v>123</v>
      </c>
      <c r="J8" s="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3.5" customHeight="1">
      <c r="A9" s="16" t="s">
        <v>125</v>
      </c>
      <c r="B9" s="16" t="s">
        <v>126</v>
      </c>
      <c r="C9" s="16" t="s">
        <v>127</v>
      </c>
      <c r="D9" s="15">
        <v>4</v>
      </c>
      <c r="E9" s="16" t="s">
        <v>128</v>
      </c>
      <c r="F9" s="16" t="s">
        <v>129</v>
      </c>
      <c r="G9" s="8">
        <f>IF(COUNTIFS('aws 전체 실질적 리소스 사용'!$B$2:$B$165,B9,'aws 전체 실질적 리소스 사용'!$I$2:$I$165,"&lt;&gt;")=0,"미산정",SUMIF('aws 전체 실질적 리소스 사용'!$B$2:$B$165,B9,'aws 전체 실질적 리소스 사용'!$I$2:$I$165))</f>
        <v>14.88</v>
      </c>
      <c r="H9" s="16"/>
      <c r="I9" s="18" t="s">
        <v>134</v>
      </c>
      <c r="J9" s="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3.5" customHeight="1">
      <c r="A10" s="16" t="s">
        <v>125</v>
      </c>
      <c r="B10" s="16" t="s">
        <v>137</v>
      </c>
      <c r="C10" s="16" t="s">
        <v>138</v>
      </c>
      <c r="D10" s="15">
        <v>1</v>
      </c>
      <c r="E10" s="16" t="s">
        <v>139</v>
      </c>
      <c r="F10" s="16" t="s">
        <v>140</v>
      </c>
      <c r="G10" s="8">
        <f>0.059*744+0.362642/6*31</f>
        <v>45.769650333333331</v>
      </c>
      <c r="H10" s="16" t="s">
        <v>143</v>
      </c>
      <c r="I10" s="18" t="s">
        <v>134</v>
      </c>
      <c r="J10" s="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3.5" customHeight="1">
      <c r="A11" s="16" t="s">
        <v>125</v>
      </c>
      <c r="B11" s="16" t="s">
        <v>145</v>
      </c>
      <c r="C11" s="16" t="s">
        <v>146</v>
      </c>
      <c r="D11" s="15">
        <v>1</v>
      </c>
      <c r="E11" s="16" t="s">
        <v>147</v>
      </c>
      <c r="F11" s="16" t="s">
        <v>149</v>
      </c>
      <c r="G11" s="8">
        <f>0.0225*744+0.000242/6*31</f>
        <v>16.741250333333333</v>
      </c>
      <c r="H11" s="16" t="s">
        <v>150</v>
      </c>
      <c r="I11" s="18" t="s">
        <v>152</v>
      </c>
      <c r="J11" s="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3.5" customHeight="1">
      <c r="A12" s="16" t="s">
        <v>154</v>
      </c>
      <c r="B12" s="16" t="s">
        <v>155</v>
      </c>
      <c r="C12" s="16" t="s">
        <v>157</v>
      </c>
      <c r="D12" s="15">
        <v>2</v>
      </c>
      <c r="E12" s="16" t="s">
        <v>159</v>
      </c>
      <c r="F12" s="16" t="s">
        <v>160</v>
      </c>
      <c r="G12" s="8">
        <f>IF(COUNTIFS('aws 전체 실질적 리소스 사용'!$B$2:$B$165,B12,'aws 전체 실질적 리소스 사용'!$I$2:$I$165,"&lt;&gt;")=0,"미산정",SUMIF('aws 전체 실질적 리소스 사용'!$B$2:$B$165,B12,'aws 전체 실질적 리소스 사용'!$I$2:$I$165))</f>
        <v>28.569599999999998</v>
      </c>
      <c r="H12" s="16" t="s">
        <v>166</v>
      </c>
      <c r="I12" s="18" t="s">
        <v>167</v>
      </c>
      <c r="J12" s="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3.5" customHeight="1">
      <c r="A13" s="16" t="s">
        <v>125</v>
      </c>
      <c r="B13" s="16" t="s">
        <v>170</v>
      </c>
      <c r="C13" s="16" t="s">
        <v>171</v>
      </c>
      <c r="D13" s="15">
        <v>5</v>
      </c>
      <c r="E13" s="16" t="s">
        <v>172</v>
      </c>
      <c r="F13" s="16" t="s">
        <v>173</v>
      </c>
      <c r="G13" s="8">
        <f>3*2*744*0.013</f>
        <v>58.031999999999996</v>
      </c>
      <c r="H13" s="16" t="s">
        <v>176</v>
      </c>
      <c r="I13" s="18" t="s">
        <v>177</v>
      </c>
      <c r="J13" s="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3.5" customHeight="1">
      <c r="A14" s="16" t="s">
        <v>179</v>
      </c>
      <c r="B14" s="16" t="s">
        <v>181</v>
      </c>
      <c r="C14" s="16" t="s">
        <v>182</v>
      </c>
      <c r="D14" s="15">
        <v>1</v>
      </c>
      <c r="E14" s="16" t="s">
        <v>183</v>
      </c>
      <c r="F14" s="16" t="s">
        <v>184</v>
      </c>
      <c r="G14" s="8">
        <f>IF(COUNTIFS('aws 전체 실질적 리소스 사용'!$B$2:$B$165,B14,'aws 전체 실질적 리소스 사용'!$I$2:$I$165,"&lt;&gt;")=0,"미산정",SUMIF('aws 전체 실질적 리소스 사용'!$B$2:$B$165,B14,'aws 전체 실질적 리소스 사용'!$I$2:$I$165))</f>
        <v>74.400000000000006</v>
      </c>
      <c r="H14" s="16"/>
      <c r="I14" s="18" t="s">
        <v>188</v>
      </c>
      <c r="J14" s="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3.5" customHeight="1">
      <c r="A15" s="16" t="s">
        <v>191</v>
      </c>
      <c r="B15" s="16" t="s">
        <v>192</v>
      </c>
      <c r="C15" s="16" t="s">
        <v>193</v>
      </c>
      <c r="D15" s="15">
        <v>11</v>
      </c>
      <c r="E15" s="16" t="s">
        <v>195</v>
      </c>
      <c r="F15" s="16" t="s">
        <v>197</v>
      </c>
      <c r="G15" s="8">
        <f>IF(COUNTIFS('aws 전체 실질적 리소스 사용'!$B$2:$B$165,B15,'aws 전체 실질적 리소스 사용'!$I$2:$I$165,"&lt;&gt;")=0,"미산정",SUMIF('aws 전체 실질적 리소스 사용'!$B$2:$B$165,B15,'aws 전체 실질적 리소스 사용'!$I$2:$I$165))</f>
        <v>4.3999999999999995</v>
      </c>
      <c r="H15" s="16" t="s">
        <v>201</v>
      </c>
      <c r="I15" s="18" t="s">
        <v>202</v>
      </c>
      <c r="J15" s="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43.5" customHeight="1">
      <c r="A16" s="16" t="s">
        <v>125</v>
      </c>
      <c r="B16" s="16" t="s">
        <v>206</v>
      </c>
      <c r="C16" s="16" t="s">
        <v>207</v>
      </c>
      <c r="D16" s="15">
        <v>1</v>
      </c>
      <c r="E16" s="16" t="s">
        <v>209</v>
      </c>
      <c r="F16" s="16" t="s">
        <v>210</v>
      </c>
      <c r="G16" s="8">
        <f>IF(COUNTIFS('aws 전체 실질적 리소스 사용'!$B$2:$B$165,B16,'aws 전체 실질적 리소스 사용'!$I$2:$I$165,"&lt;&gt;")=0,"미산정",SUMIF('aws 전체 실질적 리소스 사용'!$B$2:$B$165,B16,'aws 전체 실질적 리소스 사용'!$I$2:$I$165))</f>
        <v>0.5</v>
      </c>
      <c r="H16" s="16" t="s">
        <v>211</v>
      </c>
      <c r="I16" s="18" t="s">
        <v>212</v>
      </c>
      <c r="J16" s="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43.5" customHeight="1">
      <c r="A17" s="16" t="s">
        <v>125</v>
      </c>
      <c r="B17" s="16" t="s">
        <v>213</v>
      </c>
      <c r="C17" s="16" t="s">
        <v>214</v>
      </c>
      <c r="D17" s="15">
        <v>4</v>
      </c>
      <c r="E17" s="16" t="s">
        <v>215</v>
      </c>
      <c r="F17" s="16" t="s">
        <v>216</v>
      </c>
      <c r="G17" s="8">
        <f>IF(COUNTIFS('aws 전체 실질적 리소스 사용'!$B$2:$B$165,B17,'aws 전체 실질적 리소스 사용'!$I$2:$I$165,"&lt;&gt;")=0,"미산정",SUMIF('aws 전체 실질적 리소스 사용'!$B$2:$B$165,B17,'aws 전체 실질적 리소스 사용'!$I$2:$I$165))</f>
        <v>0</v>
      </c>
      <c r="H17" s="16" t="s">
        <v>218</v>
      </c>
      <c r="I17" s="18" t="s">
        <v>134</v>
      </c>
      <c r="J17" s="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43.5" customHeight="1">
      <c r="A18" s="16" t="s">
        <v>125</v>
      </c>
      <c r="B18" s="16" t="s">
        <v>219</v>
      </c>
      <c r="C18" s="16" t="s">
        <v>220</v>
      </c>
      <c r="D18" s="15">
        <v>17</v>
      </c>
      <c r="E18" s="16" t="s">
        <v>215</v>
      </c>
      <c r="F18" s="16" t="s">
        <v>221</v>
      </c>
      <c r="G18" s="8">
        <f>IF(COUNTIFS('aws 전체 실질적 리소스 사용'!$B$2:$B$165,B18,'aws 전체 실질적 리소스 사용'!$I$2:$I$165,"&lt;&gt;")=0,"미산정",SUMIF('aws 전체 실질적 리소스 사용'!$B$2:$B$165,B18,'aws 전체 실질적 리소스 사용'!$I$2:$I$165))</f>
        <v>0</v>
      </c>
      <c r="H18" s="16" t="s">
        <v>218</v>
      </c>
      <c r="I18" s="18" t="s">
        <v>134</v>
      </c>
      <c r="J18" s="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43.5" customHeight="1">
      <c r="A19" s="16" t="s">
        <v>125</v>
      </c>
      <c r="B19" s="16" t="s">
        <v>229</v>
      </c>
      <c r="C19" s="16" t="s">
        <v>230</v>
      </c>
      <c r="D19" s="15">
        <v>4</v>
      </c>
      <c r="E19" s="16" t="s">
        <v>215</v>
      </c>
      <c r="F19" s="16" t="s">
        <v>216</v>
      </c>
      <c r="G19" s="8">
        <f>IF(COUNTIFS('aws 전체 실질적 리소스 사용'!$B$2:$B$165,B19,'aws 전체 실질적 리소스 사용'!$I$2:$I$165,"&lt;&gt;")=0,"미산정",SUMIF('aws 전체 실질적 리소스 사용'!$B$2:$B$165,B19,'aws 전체 실질적 리소스 사용'!$I$2:$I$165))</f>
        <v>0</v>
      </c>
      <c r="H19" s="16" t="s">
        <v>218</v>
      </c>
      <c r="I19" s="18" t="s">
        <v>134</v>
      </c>
      <c r="J19" s="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43.5" customHeight="1">
      <c r="A20" s="16" t="s">
        <v>125</v>
      </c>
      <c r="B20" s="16" t="s">
        <v>235</v>
      </c>
      <c r="C20" s="16" t="s">
        <v>236</v>
      </c>
      <c r="D20" s="15">
        <v>8</v>
      </c>
      <c r="E20" s="16" t="s">
        <v>215</v>
      </c>
      <c r="F20" s="16" t="s">
        <v>237</v>
      </c>
      <c r="G20" s="8">
        <f>IF(COUNTIFS('aws 전체 실질적 리소스 사용'!$B$2:$B$165,B20,'aws 전체 실질적 리소스 사용'!$I$2:$I$165,"&lt;&gt;")=0,"미산정",SUMIF('aws 전체 실질적 리소스 사용'!$B$2:$B$165,B20,'aws 전체 실질적 리소스 사용'!$I$2:$I$165))</f>
        <v>0</v>
      </c>
      <c r="H20" s="16" t="s">
        <v>218</v>
      </c>
      <c r="I20" s="18" t="s">
        <v>134</v>
      </c>
      <c r="J20" s="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43.5" customHeight="1">
      <c r="A21" s="16" t="s">
        <v>125</v>
      </c>
      <c r="B21" s="16" t="s">
        <v>242</v>
      </c>
      <c r="C21" s="16" t="s">
        <v>243</v>
      </c>
      <c r="D21" s="15">
        <v>13</v>
      </c>
      <c r="E21" s="16" t="s">
        <v>215</v>
      </c>
      <c r="F21" s="16" t="s">
        <v>246</v>
      </c>
      <c r="G21" s="8">
        <f>IF(COUNTIFS('aws 전체 실질적 리소스 사용'!$B$2:$B$165,B21,'aws 전체 실질적 리소스 사용'!$I$2:$I$165,"&lt;&gt;")=0,"미산정",SUMIF('aws 전체 실질적 리소스 사용'!$B$2:$B$165,B21,'aws 전체 실질적 리소스 사용'!$I$2:$I$165))</f>
        <v>0</v>
      </c>
      <c r="H21" s="16" t="s">
        <v>218</v>
      </c>
      <c r="I21" s="18" t="s">
        <v>134</v>
      </c>
      <c r="J21" s="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43.5" customHeight="1">
      <c r="A22" s="16" t="s">
        <v>125</v>
      </c>
      <c r="B22" s="16" t="s">
        <v>252</v>
      </c>
      <c r="C22" s="16" t="s">
        <v>254</v>
      </c>
      <c r="D22" s="15">
        <v>4</v>
      </c>
      <c r="E22" s="16" t="s">
        <v>215</v>
      </c>
      <c r="F22" s="16" t="s">
        <v>216</v>
      </c>
      <c r="G22" s="8">
        <f>IF(COUNTIFS('aws 전체 실질적 리소스 사용'!$B$2:$B$165,B22,'aws 전체 실질적 리소스 사용'!$I$2:$I$165,"&lt;&gt;")=0,"미산정",SUMIF('aws 전체 실질적 리소스 사용'!$B$2:$B$165,B22,'aws 전체 실질적 리소스 사용'!$I$2:$I$165))</f>
        <v>0</v>
      </c>
      <c r="H22" s="16" t="s">
        <v>218</v>
      </c>
      <c r="I22" s="18" t="s">
        <v>134</v>
      </c>
      <c r="J22" s="1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43.5" customHeight="1">
      <c r="A23" s="8" t="s">
        <v>179</v>
      </c>
      <c r="B23" s="8" t="s">
        <v>261</v>
      </c>
      <c r="C23" s="8" t="s">
        <v>262</v>
      </c>
      <c r="D23" s="1">
        <v>18</v>
      </c>
      <c r="E23" s="8" t="s">
        <v>264</v>
      </c>
      <c r="F23" s="8" t="s">
        <v>265</v>
      </c>
      <c r="G23" s="19">
        <f>18*1*0.1</f>
        <v>1.8</v>
      </c>
      <c r="H23" s="8" t="s">
        <v>269</v>
      </c>
      <c r="I23" s="1" t="s">
        <v>271</v>
      </c>
      <c r="J23" s="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48" customHeight="1">
      <c r="A24" s="8" t="s">
        <v>272</v>
      </c>
      <c r="B24" s="8" t="s">
        <v>274</v>
      </c>
      <c r="C24" s="8" t="s">
        <v>275</v>
      </c>
      <c r="D24" s="1">
        <v>11</v>
      </c>
      <c r="E24" s="8" t="s">
        <v>276</v>
      </c>
      <c r="F24" s="8" t="s">
        <v>277</v>
      </c>
      <c r="G24" s="19">
        <f>(1100000/1000000*0.2)+(1100000*0.2*0.5*0.0000166667)</f>
        <v>2.053337</v>
      </c>
      <c r="H24" s="8" t="s">
        <v>280</v>
      </c>
      <c r="I24" s="1" t="s">
        <v>281</v>
      </c>
      <c r="J24" s="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48" customHeight="1">
      <c r="A25" s="8" t="s">
        <v>284</v>
      </c>
      <c r="B25" s="8" t="s">
        <v>286</v>
      </c>
      <c r="C25" s="8" t="s">
        <v>287</v>
      </c>
      <c r="D25" s="1">
        <v>11</v>
      </c>
      <c r="E25" s="8" t="s">
        <v>289</v>
      </c>
      <c r="F25" s="8" t="s">
        <v>290</v>
      </c>
      <c r="G25" s="19">
        <f>(1100000/1000000)*0.4</f>
        <v>0.44000000000000006</v>
      </c>
      <c r="H25" s="8" t="s">
        <v>293</v>
      </c>
      <c r="I25" s="1" t="s">
        <v>294</v>
      </c>
      <c r="J25" s="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48" customHeight="1">
      <c r="A26" s="8" t="s">
        <v>51</v>
      </c>
      <c r="B26" s="8" t="s">
        <v>296</v>
      </c>
      <c r="C26" s="8" t="s">
        <v>297</v>
      </c>
      <c r="D26" s="1">
        <v>17</v>
      </c>
      <c r="E26" s="8" t="s">
        <v>298</v>
      </c>
      <c r="F26" s="8" t="s">
        <v>300</v>
      </c>
      <c r="G26" s="19">
        <f>17*1*0.025</f>
        <v>0.42500000000000004</v>
      </c>
      <c r="H26" s="8" t="s">
        <v>303</v>
      </c>
      <c r="I26" s="1" t="s">
        <v>304</v>
      </c>
      <c r="J26" s="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42" customHeight="1">
      <c r="A27" s="16" t="s">
        <v>75</v>
      </c>
      <c r="B27" s="16" t="s">
        <v>307</v>
      </c>
      <c r="C27" s="16" t="s">
        <v>308</v>
      </c>
      <c r="D27" s="16">
        <v>1</v>
      </c>
      <c r="E27" s="15" t="s">
        <v>309</v>
      </c>
      <c r="F27" s="16" t="s">
        <v>310</v>
      </c>
      <c r="G27" s="8">
        <f>4.173597/6*31</f>
        <v>21.563584500000001</v>
      </c>
      <c r="H27" s="16" t="s">
        <v>312</v>
      </c>
      <c r="I27" s="16" t="s">
        <v>314</v>
      </c>
      <c r="J27" s="18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42" customHeight="1">
      <c r="A28" s="16" t="s">
        <v>317</v>
      </c>
      <c r="B28" s="16" t="s">
        <v>318</v>
      </c>
      <c r="C28" s="16" t="s">
        <v>319</v>
      </c>
      <c r="D28" s="16">
        <v>1</v>
      </c>
      <c r="E28" s="15" t="s">
        <v>321</v>
      </c>
      <c r="F28" s="16" t="s">
        <v>322</v>
      </c>
      <c r="G28" s="8">
        <f>0.016776/6*31</f>
        <v>8.6676000000000003E-2</v>
      </c>
      <c r="H28" s="16" t="s">
        <v>323</v>
      </c>
      <c r="I28" s="16" t="s">
        <v>314</v>
      </c>
      <c r="J28" s="18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43.5" customHeight="1">
      <c r="A29" s="16"/>
      <c r="B29" s="14"/>
      <c r="C29" s="14"/>
      <c r="D29" s="14"/>
      <c r="E29" s="16"/>
      <c r="F29" s="14" t="s">
        <v>326</v>
      </c>
      <c r="G29" s="20">
        <f>SUM(G7:G28)</f>
        <v>773.04349816666672</v>
      </c>
      <c r="H29" s="16"/>
      <c r="I29" s="14"/>
      <c r="J29" s="18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43.5" customHeight="1">
      <c r="A30" s="16"/>
      <c r="B30" s="8"/>
      <c r="C30" s="8"/>
      <c r="D30" s="8"/>
      <c r="E30" s="8"/>
      <c r="F30" s="8"/>
      <c r="G30" s="8"/>
      <c r="H30" s="16"/>
      <c r="I30" s="8"/>
      <c r="J30" s="16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43.5" customHeight="1">
      <c r="A31" s="16"/>
      <c r="B31" s="8"/>
      <c r="C31" s="8"/>
      <c r="D31" s="8"/>
      <c r="E31" s="8"/>
      <c r="F31" s="26"/>
      <c r="G31" s="27"/>
      <c r="H31" s="1"/>
      <c r="I31" s="8"/>
      <c r="J31" s="8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42" customHeight="1">
      <c r="A32" s="16"/>
      <c r="B32" s="8"/>
      <c r="C32" s="8"/>
      <c r="D32" s="8"/>
      <c r="E32" s="8"/>
      <c r="F32" s="8"/>
      <c r="G32" s="8"/>
      <c r="H32" s="16"/>
      <c r="I32" s="8"/>
      <c r="J32" s="8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42" customHeight="1">
      <c r="A33" s="1"/>
      <c r="B33" s="21"/>
      <c r="C33" s="21"/>
      <c r="D33" s="21"/>
      <c r="E33" s="21"/>
      <c r="F33" s="21"/>
      <c r="G33" s="21"/>
      <c r="H33" s="1"/>
      <c r="I33" s="21"/>
      <c r="J33" s="8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42" customHeight="1">
      <c r="A34" s="1"/>
      <c r="B34" s="1"/>
      <c r="C34" s="1"/>
      <c r="D34" s="1"/>
      <c r="E34" s="1"/>
      <c r="F34" s="1"/>
      <c r="G34" s="1"/>
      <c r="H34" s="1"/>
      <c r="I34" s="1"/>
      <c r="J34" s="21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42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J1"/>
    <mergeCell ref="A2:J2"/>
    <mergeCell ref="F31:G31"/>
  </mergeCells>
  <phoneticPr fontId="6" type="noConversion"/>
  <pageMargins left="0.69999998807907104" right="0.69999998807907104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/>
  </sheetViews>
  <sheetFormatPr defaultColWidth="14.42578125" defaultRowHeight="15" customHeight="1"/>
  <cols>
    <col min="1" max="1" width="13.7109375" customWidth="1"/>
    <col min="2" max="2" width="27.42578125" customWidth="1"/>
    <col min="3" max="3" width="18.28515625" customWidth="1"/>
    <col min="4" max="5" width="38.85546875" customWidth="1"/>
    <col min="6" max="6" width="25.140625" customWidth="1"/>
    <col min="7" max="7" width="16" customWidth="1"/>
    <col min="8" max="8" width="45.7109375" customWidth="1"/>
    <col min="9" max="9" width="18.28515625" customWidth="1"/>
    <col min="10" max="10" width="16" customWidth="1"/>
    <col min="11" max="11" width="54.85546875" customWidth="1"/>
    <col min="12" max="12" width="34.28515625" customWidth="1"/>
    <col min="13" max="26" width="10.42578125" customWidth="1"/>
  </cols>
  <sheetData>
    <row r="1" spans="1:12" ht="33.75" customHeight="1">
      <c r="A1" s="2" t="s">
        <v>1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15</v>
      </c>
      <c r="L1" s="2" t="s">
        <v>16</v>
      </c>
    </row>
    <row r="2" spans="1:12" ht="19.5" customHeight="1">
      <c r="A2" s="6" t="s">
        <v>17</v>
      </c>
      <c r="B2" s="6" t="s">
        <v>20</v>
      </c>
      <c r="C2" s="6" t="s">
        <v>23</v>
      </c>
      <c r="D2" s="6" t="s">
        <v>25</v>
      </c>
      <c r="E2" s="6" t="s">
        <v>27</v>
      </c>
      <c r="F2" s="6" t="s">
        <v>30</v>
      </c>
      <c r="G2" s="6" t="s">
        <v>31</v>
      </c>
      <c r="H2" s="6" t="s">
        <v>32</v>
      </c>
      <c r="I2" s="8">
        <v>149.24639999999999</v>
      </c>
      <c r="J2" s="8">
        <v>0.2006</v>
      </c>
      <c r="K2" s="6" t="s">
        <v>36</v>
      </c>
      <c r="L2" s="6" t="s">
        <v>37</v>
      </c>
    </row>
    <row r="3" spans="1:12" ht="19.5" customHeight="1">
      <c r="A3" s="6" t="s">
        <v>17</v>
      </c>
      <c r="B3" s="6" t="s">
        <v>20</v>
      </c>
      <c r="C3" s="6" t="s">
        <v>23</v>
      </c>
      <c r="D3" s="6" t="s">
        <v>38</v>
      </c>
      <c r="E3" s="6" t="s">
        <v>39</v>
      </c>
      <c r="F3" s="6" t="s">
        <v>41</v>
      </c>
      <c r="G3" s="6" t="s">
        <v>31</v>
      </c>
      <c r="H3" s="6" t="s">
        <v>32</v>
      </c>
      <c r="I3" s="8">
        <v>123.80159999999999</v>
      </c>
      <c r="J3" s="8">
        <v>0.16639999999999999</v>
      </c>
      <c r="K3" s="6" t="s">
        <v>36</v>
      </c>
      <c r="L3" s="6" t="s">
        <v>37</v>
      </c>
    </row>
    <row r="4" spans="1:12" ht="19.5" customHeight="1">
      <c r="A4" s="6" t="s">
        <v>17</v>
      </c>
      <c r="B4" s="6" t="s">
        <v>20</v>
      </c>
      <c r="C4" s="6" t="s">
        <v>23</v>
      </c>
      <c r="D4" s="6" t="s">
        <v>42</v>
      </c>
      <c r="E4" s="6" t="s">
        <v>43</v>
      </c>
      <c r="F4" s="6" t="s">
        <v>44</v>
      </c>
      <c r="G4" s="6" t="s">
        <v>31</v>
      </c>
      <c r="H4" s="6" t="s">
        <v>32</v>
      </c>
      <c r="I4" s="8">
        <v>38.687999999999995</v>
      </c>
      <c r="J4" s="8">
        <v>5.2000000000000005E-2</v>
      </c>
      <c r="K4" s="6" t="s">
        <v>36</v>
      </c>
      <c r="L4" s="6" t="s">
        <v>37</v>
      </c>
    </row>
    <row r="5" spans="1:12" ht="19.5" customHeight="1">
      <c r="A5" s="6" t="s">
        <v>17</v>
      </c>
      <c r="B5" s="6" t="s">
        <v>20</v>
      </c>
      <c r="C5" s="6" t="s">
        <v>23</v>
      </c>
      <c r="D5" s="6" t="s">
        <v>46</v>
      </c>
      <c r="E5" s="6" t="s">
        <v>27</v>
      </c>
      <c r="F5" s="6" t="s">
        <v>30</v>
      </c>
      <c r="G5" s="6" t="s">
        <v>31</v>
      </c>
      <c r="H5" s="6" t="s">
        <v>32</v>
      </c>
      <c r="I5" s="8">
        <v>149.24639999999999</v>
      </c>
      <c r="J5" s="8">
        <v>0.2006</v>
      </c>
      <c r="K5" s="6" t="s">
        <v>36</v>
      </c>
      <c r="L5" s="6" t="s">
        <v>37</v>
      </c>
    </row>
    <row r="6" spans="1:12" ht="19.5" customHeight="1">
      <c r="A6" s="6" t="s">
        <v>51</v>
      </c>
      <c r="B6" s="6" t="s">
        <v>52</v>
      </c>
      <c r="C6" s="6" t="s">
        <v>23</v>
      </c>
      <c r="D6" s="6" t="s">
        <v>53</v>
      </c>
      <c r="E6" s="6" t="s">
        <v>54</v>
      </c>
      <c r="F6" s="6" t="s">
        <v>56</v>
      </c>
      <c r="G6" s="6" t="s">
        <v>57</v>
      </c>
      <c r="H6" s="6" t="s">
        <v>58</v>
      </c>
      <c r="I6" s="8">
        <v>4.8</v>
      </c>
      <c r="J6" s="8">
        <v>0.08</v>
      </c>
      <c r="K6" s="6" t="s">
        <v>62</v>
      </c>
      <c r="L6" s="6" t="s">
        <v>37</v>
      </c>
    </row>
    <row r="7" spans="1:12" ht="19.5" customHeight="1">
      <c r="A7" s="6" t="s">
        <v>51</v>
      </c>
      <c r="B7" s="6" t="s">
        <v>52</v>
      </c>
      <c r="C7" s="6" t="s">
        <v>23</v>
      </c>
      <c r="D7" s="6" t="s">
        <v>64</v>
      </c>
      <c r="E7" s="6" t="s">
        <v>65</v>
      </c>
      <c r="F7" s="6" t="s">
        <v>56</v>
      </c>
      <c r="G7" s="6" t="s">
        <v>57</v>
      </c>
      <c r="H7" s="6" t="s">
        <v>67</v>
      </c>
      <c r="I7" s="8">
        <v>2.56</v>
      </c>
      <c r="J7" s="8">
        <v>0.08</v>
      </c>
      <c r="K7" s="6" t="s">
        <v>62</v>
      </c>
      <c r="L7" s="6" t="s">
        <v>37</v>
      </c>
    </row>
    <row r="8" spans="1:12" ht="19.5" customHeight="1">
      <c r="A8" s="6" t="s">
        <v>51</v>
      </c>
      <c r="B8" s="6" t="s">
        <v>52</v>
      </c>
      <c r="C8" s="6" t="s">
        <v>23</v>
      </c>
      <c r="D8" s="6" t="s">
        <v>71</v>
      </c>
      <c r="E8" s="6" t="s">
        <v>72</v>
      </c>
      <c r="F8" s="6" t="s">
        <v>56</v>
      </c>
      <c r="G8" s="6" t="s">
        <v>57</v>
      </c>
      <c r="H8" s="6" t="s">
        <v>73</v>
      </c>
      <c r="I8" s="8">
        <v>1.6</v>
      </c>
      <c r="J8" s="8">
        <v>0.08</v>
      </c>
      <c r="K8" s="6" t="s">
        <v>62</v>
      </c>
      <c r="L8" s="6" t="s">
        <v>37</v>
      </c>
    </row>
    <row r="9" spans="1:12" ht="19.5" customHeight="1">
      <c r="A9" s="6" t="s">
        <v>51</v>
      </c>
      <c r="B9" s="6" t="s">
        <v>52</v>
      </c>
      <c r="C9" s="6" t="s">
        <v>23</v>
      </c>
      <c r="D9" s="6" t="s">
        <v>78</v>
      </c>
      <c r="E9" s="6" t="s">
        <v>79</v>
      </c>
      <c r="F9" s="6" t="s">
        <v>56</v>
      </c>
      <c r="G9" s="6" t="s">
        <v>57</v>
      </c>
      <c r="H9" s="6" t="s">
        <v>80</v>
      </c>
      <c r="I9" s="8">
        <v>5.12</v>
      </c>
      <c r="J9" s="8">
        <v>0.08</v>
      </c>
      <c r="K9" s="6" t="s">
        <v>62</v>
      </c>
      <c r="L9" s="6" t="s">
        <v>37</v>
      </c>
    </row>
    <row r="10" spans="1:12" ht="19.5" customHeight="1">
      <c r="A10" s="6" t="s">
        <v>51</v>
      </c>
      <c r="B10" s="6" t="s">
        <v>52</v>
      </c>
      <c r="C10" s="6" t="s">
        <v>23</v>
      </c>
      <c r="D10" s="6" t="s">
        <v>87</v>
      </c>
      <c r="E10" s="6" t="s">
        <v>88</v>
      </c>
      <c r="F10" s="6" t="s">
        <v>56</v>
      </c>
      <c r="G10" s="6" t="s">
        <v>57</v>
      </c>
      <c r="H10" s="6" t="s">
        <v>91</v>
      </c>
      <c r="I10" s="8">
        <v>0.08</v>
      </c>
      <c r="J10" s="8">
        <v>0.08</v>
      </c>
      <c r="K10" s="6" t="s">
        <v>62</v>
      </c>
      <c r="L10" s="6" t="s">
        <v>37</v>
      </c>
    </row>
    <row r="11" spans="1:12" ht="19.5" customHeight="1">
      <c r="A11" s="6" t="s">
        <v>51</v>
      </c>
      <c r="B11" s="6" t="s">
        <v>52</v>
      </c>
      <c r="C11" s="6" t="s">
        <v>23</v>
      </c>
      <c r="D11" s="6" t="s">
        <v>93</v>
      </c>
      <c r="E11" s="6" t="s">
        <v>95</v>
      </c>
      <c r="F11" s="6" t="s">
        <v>56</v>
      </c>
      <c r="G11" s="6" t="s">
        <v>57</v>
      </c>
      <c r="H11" s="6" t="s">
        <v>96</v>
      </c>
      <c r="I11" s="8">
        <v>0.8</v>
      </c>
      <c r="J11" s="8">
        <v>0.08</v>
      </c>
      <c r="K11" s="6" t="s">
        <v>62</v>
      </c>
      <c r="L11" s="6" t="s">
        <v>37</v>
      </c>
    </row>
    <row r="12" spans="1:12" ht="19.5" customHeight="1">
      <c r="A12" s="6" t="s">
        <v>51</v>
      </c>
      <c r="B12" s="6" t="s">
        <v>52</v>
      </c>
      <c r="C12" s="6" t="s">
        <v>23</v>
      </c>
      <c r="D12" s="6" t="s">
        <v>100</v>
      </c>
      <c r="E12" s="6" t="s">
        <v>101</v>
      </c>
      <c r="F12" s="6" t="s">
        <v>56</v>
      </c>
      <c r="G12" s="6" t="s">
        <v>57</v>
      </c>
      <c r="H12" s="6" t="s">
        <v>102</v>
      </c>
      <c r="I12" s="8">
        <v>2.4</v>
      </c>
      <c r="J12" s="8">
        <v>0.08</v>
      </c>
      <c r="K12" s="6" t="s">
        <v>62</v>
      </c>
      <c r="L12" s="6" t="s">
        <v>37</v>
      </c>
    </row>
    <row r="13" spans="1:12" ht="19.5" customHeight="1">
      <c r="A13" s="6" t="s">
        <v>51</v>
      </c>
      <c r="B13" s="6" t="s">
        <v>52</v>
      </c>
      <c r="C13" s="6" t="s">
        <v>23</v>
      </c>
      <c r="D13" s="6" t="s">
        <v>103</v>
      </c>
      <c r="E13" s="6" t="s">
        <v>104</v>
      </c>
      <c r="F13" s="6" t="s">
        <v>56</v>
      </c>
      <c r="G13" s="6" t="s">
        <v>105</v>
      </c>
      <c r="H13" s="6" t="s">
        <v>91</v>
      </c>
      <c r="I13" s="8">
        <v>0.08</v>
      </c>
      <c r="J13" s="8">
        <v>0.08</v>
      </c>
      <c r="K13" s="6" t="s">
        <v>62</v>
      </c>
      <c r="L13" s="6" t="s">
        <v>37</v>
      </c>
    </row>
    <row r="14" spans="1:12" ht="19.5" customHeight="1">
      <c r="A14" s="6" t="s">
        <v>51</v>
      </c>
      <c r="B14" s="6" t="s">
        <v>52</v>
      </c>
      <c r="C14" s="6" t="s">
        <v>23</v>
      </c>
      <c r="D14" s="6" t="s">
        <v>106</v>
      </c>
      <c r="E14" s="6" t="s">
        <v>107</v>
      </c>
      <c r="F14" s="6" t="s">
        <v>56</v>
      </c>
      <c r="G14" s="6" t="s">
        <v>57</v>
      </c>
      <c r="H14" s="6" t="s">
        <v>96</v>
      </c>
      <c r="I14" s="8">
        <v>0.8</v>
      </c>
      <c r="J14" s="8">
        <v>0.08</v>
      </c>
      <c r="K14" s="6" t="s">
        <v>62</v>
      </c>
      <c r="L14" s="6" t="s">
        <v>37</v>
      </c>
    </row>
    <row r="15" spans="1:12" ht="19.5" customHeight="1">
      <c r="A15" s="6" t="s">
        <v>51</v>
      </c>
      <c r="B15" s="6" t="s">
        <v>52</v>
      </c>
      <c r="C15" s="6" t="s">
        <v>23</v>
      </c>
      <c r="D15" s="6" t="s">
        <v>111</v>
      </c>
      <c r="E15" s="6" t="s">
        <v>112</v>
      </c>
      <c r="F15" s="6" t="s">
        <v>56</v>
      </c>
      <c r="G15" s="6" t="s">
        <v>57</v>
      </c>
      <c r="H15" s="6" t="s">
        <v>113</v>
      </c>
      <c r="I15" s="8">
        <v>0.16</v>
      </c>
      <c r="J15" s="8">
        <v>0.08</v>
      </c>
      <c r="K15" s="6" t="s">
        <v>62</v>
      </c>
      <c r="L15" s="6" t="s">
        <v>37</v>
      </c>
    </row>
    <row r="16" spans="1:12" ht="19.5" customHeight="1">
      <c r="A16" s="6" t="s">
        <v>51</v>
      </c>
      <c r="B16" s="6" t="s">
        <v>52</v>
      </c>
      <c r="C16" s="6" t="s">
        <v>23</v>
      </c>
      <c r="D16" s="6" t="s">
        <v>117</v>
      </c>
      <c r="E16" s="6" t="s">
        <v>118</v>
      </c>
      <c r="F16" s="6" t="s">
        <v>56</v>
      </c>
      <c r="G16" s="6" t="s">
        <v>57</v>
      </c>
      <c r="H16" s="6" t="s">
        <v>119</v>
      </c>
      <c r="I16" s="8">
        <v>4</v>
      </c>
      <c r="J16" s="8">
        <v>0.08</v>
      </c>
      <c r="K16" s="6" t="s">
        <v>62</v>
      </c>
      <c r="L16" s="6" t="s">
        <v>37</v>
      </c>
    </row>
    <row r="17" spans="1:12" ht="19.5" customHeight="1">
      <c r="A17" s="6" t="s">
        <v>51</v>
      </c>
      <c r="B17" s="6" t="s">
        <v>52</v>
      </c>
      <c r="C17" s="6" t="s">
        <v>23</v>
      </c>
      <c r="D17" s="6" t="s">
        <v>120</v>
      </c>
      <c r="E17" s="6" t="s">
        <v>121</v>
      </c>
      <c r="F17" s="6" t="s">
        <v>56</v>
      </c>
      <c r="G17" s="6" t="s">
        <v>57</v>
      </c>
      <c r="H17" s="6" t="s">
        <v>96</v>
      </c>
      <c r="I17" s="8">
        <v>0.8</v>
      </c>
      <c r="J17" s="8">
        <v>0.08</v>
      </c>
      <c r="K17" s="6" t="s">
        <v>62</v>
      </c>
      <c r="L17" s="6" t="s">
        <v>37</v>
      </c>
    </row>
    <row r="18" spans="1:12" ht="19.5" customHeight="1">
      <c r="A18" s="6" t="s">
        <v>51</v>
      </c>
      <c r="B18" s="6" t="s">
        <v>52</v>
      </c>
      <c r="C18" s="6" t="s">
        <v>23</v>
      </c>
      <c r="D18" s="6" t="s">
        <v>124</v>
      </c>
      <c r="E18" s="6" t="s">
        <v>124</v>
      </c>
      <c r="F18" s="6" t="s">
        <v>56</v>
      </c>
      <c r="G18" s="6" t="s">
        <v>57</v>
      </c>
      <c r="H18" s="6" t="s">
        <v>58</v>
      </c>
      <c r="I18" s="8">
        <v>4.8</v>
      </c>
      <c r="J18" s="8">
        <v>0.08</v>
      </c>
      <c r="K18" s="6" t="s">
        <v>62</v>
      </c>
      <c r="L18" s="6" t="s">
        <v>37</v>
      </c>
    </row>
    <row r="19" spans="1:12" ht="19.5" customHeight="1">
      <c r="A19" s="6" t="s">
        <v>51</v>
      </c>
      <c r="B19" s="6" t="s">
        <v>52</v>
      </c>
      <c r="C19" s="6" t="s">
        <v>23</v>
      </c>
      <c r="D19" s="6" t="s">
        <v>130</v>
      </c>
      <c r="E19" s="6" t="s">
        <v>131</v>
      </c>
      <c r="F19" s="6" t="s">
        <v>56</v>
      </c>
      <c r="G19" s="6" t="s">
        <v>57</v>
      </c>
      <c r="H19" s="6" t="s">
        <v>96</v>
      </c>
      <c r="I19" s="8">
        <v>0.8</v>
      </c>
      <c r="J19" s="8">
        <v>0.08</v>
      </c>
      <c r="K19" s="6" t="s">
        <v>62</v>
      </c>
      <c r="L19" s="6" t="s">
        <v>37</v>
      </c>
    </row>
    <row r="20" spans="1:12" ht="19.5" customHeight="1">
      <c r="A20" s="6" t="s">
        <v>51</v>
      </c>
      <c r="B20" s="6" t="s">
        <v>52</v>
      </c>
      <c r="C20" s="6" t="s">
        <v>23</v>
      </c>
      <c r="D20" s="6" t="s">
        <v>132</v>
      </c>
      <c r="E20" s="6" t="s">
        <v>133</v>
      </c>
      <c r="F20" s="6" t="s">
        <v>56</v>
      </c>
      <c r="G20" s="6" t="s">
        <v>57</v>
      </c>
      <c r="H20" s="6" t="s">
        <v>96</v>
      </c>
      <c r="I20" s="8">
        <v>0.8</v>
      </c>
      <c r="J20" s="8">
        <v>0.08</v>
      </c>
      <c r="K20" s="6" t="s">
        <v>62</v>
      </c>
      <c r="L20" s="6" t="s">
        <v>37</v>
      </c>
    </row>
    <row r="21" spans="1:12" ht="19.5" customHeight="1">
      <c r="A21" s="6" t="s">
        <v>51</v>
      </c>
      <c r="B21" s="6" t="s">
        <v>52</v>
      </c>
      <c r="C21" s="6" t="s">
        <v>23</v>
      </c>
      <c r="D21" s="6" t="s">
        <v>135</v>
      </c>
      <c r="E21" s="6" t="s">
        <v>136</v>
      </c>
      <c r="F21" s="6" t="s">
        <v>56</v>
      </c>
      <c r="G21" s="6" t="s">
        <v>57</v>
      </c>
      <c r="H21" s="6" t="s">
        <v>73</v>
      </c>
      <c r="I21" s="8">
        <v>1.6</v>
      </c>
      <c r="J21" s="8">
        <v>0.08</v>
      </c>
      <c r="K21" s="6" t="s">
        <v>62</v>
      </c>
      <c r="L21" s="6" t="s">
        <v>37</v>
      </c>
    </row>
    <row r="22" spans="1:12" ht="19.5" customHeight="1">
      <c r="A22" s="6" t="s">
        <v>51</v>
      </c>
      <c r="B22" s="6" t="s">
        <v>52</v>
      </c>
      <c r="C22" s="6" t="s">
        <v>23</v>
      </c>
      <c r="D22" s="6" t="s">
        <v>141</v>
      </c>
      <c r="E22" s="6" t="s">
        <v>142</v>
      </c>
      <c r="F22" s="6" t="s">
        <v>56</v>
      </c>
      <c r="G22" s="6" t="s">
        <v>57</v>
      </c>
      <c r="H22" s="6" t="s">
        <v>96</v>
      </c>
      <c r="I22" s="8">
        <v>0.8</v>
      </c>
      <c r="J22" s="8">
        <v>0.08</v>
      </c>
      <c r="K22" s="6" t="s">
        <v>62</v>
      </c>
      <c r="L22" s="6" t="s">
        <v>37</v>
      </c>
    </row>
    <row r="23" spans="1:12" ht="19.5" customHeight="1">
      <c r="A23" s="6" t="s">
        <v>51</v>
      </c>
      <c r="B23" s="6" t="s">
        <v>52</v>
      </c>
      <c r="C23" s="6" t="s">
        <v>23</v>
      </c>
      <c r="D23" s="6" t="s">
        <v>144</v>
      </c>
      <c r="E23" s="6" t="s">
        <v>144</v>
      </c>
      <c r="F23" s="6" t="s">
        <v>56</v>
      </c>
      <c r="G23" s="6" t="s">
        <v>57</v>
      </c>
      <c r="H23" s="6" t="s">
        <v>102</v>
      </c>
      <c r="I23" s="8">
        <v>2.4</v>
      </c>
      <c r="J23" s="8">
        <v>0.08</v>
      </c>
      <c r="K23" s="6" t="s">
        <v>62</v>
      </c>
      <c r="L23" s="6" t="s">
        <v>37</v>
      </c>
    </row>
    <row r="24" spans="1:12" ht="19.5" customHeight="1">
      <c r="A24" s="6" t="s">
        <v>51</v>
      </c>
      <c r="B24" s="6" t="s">
        <v>52</v>
      </c>
      <c r="C24" s="6" t="s">
        <v>23</v>
      </c>
      <c r="D24" s="6" t="s">
        <v>148</v>
      </c>
      <c r="E24" s="6" t="s">
        <v>148</v>
      </c>
      <c r="F24" s="6" t="s">
        <v>56</v>
      </c>
      <c r="G24" s="6" t="s">
        <v>57</v>
      </c>
      <c r="H24" s="6" t="s">
        <v>58</v>
      </c>
      <c r="I24" s="8">
        <v>4.8</v>
      </c>
      <c r="J24" s="8">
        <v>0.08</v>
      </c>
      <c r="K24" s="6" t="s">
        <v>62</v>
      </c>
      <c r="L24" s="6" t="s">
        <v>37</v>
      </c>
    </row>
    <row r="25" spans="1:12" ht="19.5" customHeight="1">
      <c r="A25" s="6" t="s">
        <v>51</v>
      </c>
      <c r="B25" s="6" t="s">
        <v>52</v>
      </c>
      <c r="C25" s="6" t="s">
        <v>23</v>
      </c>
      <c r="D25" s="6" t="s">
        <v>151</v>
      </c>
      <c r="E25" s="6" t="s">
        <v>153</v>
      </c>
      <c r="F25" s="6" t="s">
        <v>56</v>
      </c>
      <c r="G25" s="6" t="s">
        <v>57</v>
      </c>
      <c r="H25" s="6" t="s">
        <v>96</v>
      </c>
      <c r="I25" s="8">
        <v>0.8</v>
      </c>
      <c r="J25" s="8">
        <v>0.08</v>
      </c>
      <c r="K25" s="6" t="s">
        <v>62</v>
      </c>
      <c r="L25" s="6" t="s">
        <v>37</v>
      </c>
    </row>
    <row r="26" spans="1:12" ht="19.5" customHeight="1">
      <c r="A26" s="6" t="s">
        <v>51</v>
      </c>
      <c r="B26" s="6" t="s">
        <v>52</v>
      </c>
      <c r="C26" s="6" t="s">
        <v>23</v>
      </c>
      <c r="D26" s="6" t="s">
        <v>156</v>
      </c>
      <c r="E26" s="6" t="s">
        <v>158</v>
      </c>
      <c r="F26" s="6" t="s">
        <v>56</v>
      </c>
      <c r="G26" s="6" t="s">
        <v>57</v>
      </c>
      <c r="H26" s="6" t="s">
        <v>73</v>
      </c>
      <c r="I26" s="8">
        <v>1.6</v>
      </c>
      <c r="J26" s="8">
        <v>0.08</v>
      </c>
      <c r="K26" s="6" t="s">
        <v>62</v>
      </c>
      <c r="L26" s="6" t="s">
        <v>37</v>
      </c>
    </row>
    <row r="27" spans="1:12" ht="19.5" customHeight="1">
      <c r="A27" s="6" t="s">
        <v>125</v>
      </c>
      <c r="B27" s="6" t="s">
        <v>126</v>
      </c>
      <c r="C27" s="6" t="s">
        <v>23</v>
      </c>
      <c r="D27" s="6" t="s">
        <v>161</v>
      </c>
      <c r="E27" s="6" t="s">
        <v>552</v>
      </c>
      <c r="F27" s="6" t="s">
        <v>162</v>
      </c>
      <c r="G27" s="6" t="s">
        <v>163</v>
      </c>
      <c r="H27" s="6" t="s">
        <v>164</v>
      </c>
      <c r="I27" s="8">
        <v>3.72</v>
      </c>
      <c r="J27" s="8">
        <v>5.0000000000000001E-3</v>
      </c>
      <c r="K27" s="6" t="s">
        <v>165</v>
      </c>
      <c r="L27" s="6" t="s">
        <v>37</v>
      </c>
    </row>
    <row r="28" spans="1:12" ht="19.5" customHeight="1">
      <c r="A28" s="6" t="s">
        <v>125</v>
      </c>
      <c r="B28" s="6" t="s">
        <v>126</v>
      </c>
      <c r="C28" s="6" t="s">
        <v>23</v>
      </c>
      <c r="D28" s="6" t="s">
        <v>168</v>
      </c>
      <c r="E28" s="6" t="s">
        <v>552</v>
      </c>
      <c r="F28" s="6" t="s">
        <v>162</v>
      </c>
      <c r="G28" s="6" t="s">
        <v>163</v>
      </c>
      <c r="H28" s="6" t="s">
        <v>169</v>
      </c>
      <c r="I28" s="8">
        <v>3.72</v>
      </c>
      <c r="J28" s="8">
        <v>5.0000000000000001E-3</v>
      </c>
      <c r="K28" s="6" t="s">
        <v>165</v>
      </c>
      <c r="L28" s="6" t="s">
        <v>37</v>
      </c>
    </row>
    <row r="29" spans="1:12" ht="19.5" customHeight="1">
      <c r="A29" s="6" t="s">
        <v>125</v>
      </c>
      <c r="B29" s="6" t="s">
        <v>126</v>
      </c>
      <c r="C29" s="6" t="s">
        <v>23</v>
      </c>
      <c r="D29" s="6" t="s">
        <v>174</v>
      </c>
      <c r="E29" s="6" t="s">
        <v>552</v>
      </c>
      <c r="F29" s="6" t="s">
        <v>162</v>
      </c>
      <c r="G29" s="6" t="s">
        <v>163</v>
      </c>
      <c r="H29" s="6" t="s">
        <v>175</v>
      </c>
      <c r="I29" s="8">
        <v>3.72</v>
      </c>
      <c r="J29" s="8">
        <v>5.0000000000000001E-3</v>
      </c>
      <c r="K29" s="6" t="s">
        <v>165</v>
      </c>
      <c r="L29" s="6" t="s">
        <v>37</v>
      </c>
    </row>
    <row r="30" spans="1:12" ht="19.5" customHeight="1">
      <c r="A30" s="6" t="s">
        <v>125</v>
      </c>
      <c r="B30" s="6" t="s">
        <v>126</v>
      </c>
      <c r="C30" s="6" t="s">
        <v>23</v>
      </c>
      <c r="D30" s="6" t="s">
        <v>178</v>
      </c>
      <c r="E30" s="6" t="s">
        <v>552</v>
      </c>
      <c r="F30" s="6" t="s">
        <v>162</v>
      </c>
      <c r="G30" s="6" t="s">
        <v>163</v>
      </c>
      <c r="H30" s="6" t="s">
        <v>180</v>
      </c>
      <c r="I30" s="8">
        <v>3.72</v>
      </c>
      <c r="J30" s="8">
        <v>5.0000000000000001E-3</v>
      </c>
      <c r="K30" s="6" t="s">
        <v>165</v>
      </c>
      <c r="L30" s="6" t="s">
        <v>37</v>
      </c>
    </row>
    <row r="31" spans="1:12" ht="19.5" customHeight="1">
      <c r="A31" s="6" t="s">
        <v>125</v>
      </c>
      <c r="B31" s="6" t="s">
        <v>137</v>
      </c>
      <c r="C31" s="6" t="s">
        <v>23</v>
      </c>
      <c r="D31" s="6" t="s">
        <v>185</v>
      </c>
      <c r="E31" s="6" t="s">
        <v>186</v>
      </c>
      <c r="F31" s="6" t="s">
        <v>137</v>
      </c>
      <c r="G31" s="6" t="s">
        <v>105</v>
      </c>
      <c r="H31" s="6" t="s">
        <v>187</v>
      </c>
      <c r="I31" s="8">
        <f>0.059*744+0.362642/6*31</f>
        <v>45.769650333333331</v>
      </c>
      <c r="J31" s="8" t="s">
        <v>139</v>
      </c>
      <c r="K31" s="6" t="s">
        <v>189</v>
      </c>
      <c r="L31" s="6" t="s">
        <v>190</v>
      </c>
    </row>
    <row r="32" spans="1:12" ht="19.5" customHeight="1">
      <c r="A32" s="6" t="s">
        <v>125</v>
      </c>
      <c r="B32" s="6" t="s">
        <v>145</v>
      </c>
      <c r="C32" s="6" t="s">
        <v>23</v>
      </c>
      <c r="D32" s="6" t="s">
        <v>498</v>
      </c>
      <c r="E32" s="6" t="s">
        <v>194</v>
      </c>
      <c r="F32" s="6" t="s">
        <v>196</v>
      </c>
      <c r="G32" s="6" t="s">
        <v>198</v>
      </c>
      <c r="H32" s="6" t="s">
        <v>199</v>
      </c>
      <c r="I32" s="8">
        <f>0.0225*744+0.000242/6*31</f>
        <v>16.741250333333333</v>
      </c>
      <c r="J32" s="8" t="s">
        <v>147</v>
      </c>
      <c r="K32" s="6" t="s">
        <v>200</v>
      </c>
      <c r="L32" s="6" t="s">
        <v>190</v>
      </c>
    </row>
    <row r="33" spans="1:12" ht="19.5" customHeight="1">
      <c r="A33" s="6" t="s">
        <v>154</v>
      </c>
      <c r="B33" s="6" t="s">
        <v>155</v>
      </c>
      <c r="C33" s="6" t="s">
        <v>23</v>
      </c>
      <c r="D33" s="6" t="s">
        <v>203</v>
      </c>
      <c r="E33" s="6" t="s">
        <v>203</v>
      </c>
      <c r="F33" s="6" t="s">
        <v>204</v>
      </c>
      <c r="G33" s="6" t="s">
        <v>105</v>
      </c>
      <c r="H33" s="6" t="s">
        <v>205</v>
      </c>
      <c r="I33" s="8">
        <v>14.284799999999999</v>
      </c>
      <c r="J33" s="8">
        <v>1.9199999999999998E-2</v>
      </c>
      <c r="K33" s="6" t="s">
        <v>208</v>
      </c>
      <c r="L33" s="6" t="s">
        <v>37</v>
      </c>
    </row>
    <row r="34" spans="1:12" ht="19.5" customHeight="1">
      <c r="A34" s="6" t="s">
        <v>154</v>
      </c>
      <c r="B34" s="6" t="s">
        <v>155</v>
      </c>
      <c r="C34" s="6" t="s">
        <v>23</v>
      </c>
      <c r="D34" s="6" t="s">
        <v>217</v>
      </c>
      <c r="E34" s="6" t="s">
        <v>217</v>
      </c>
      <c r="F34" s="6" t="s">
        <v>204</v>
      </c>
      <c r="G34" s="6" t="s">
        <v>105</v>
      </c>
      <c r="H34" s="6" t="s">
        <v>205</v>
      </c>
      <c r="I34" s="8">
        <v>14.284799999999999</v>
      </c>
      <c r="J34" s="8">
        <v>1.9199999999999998E-2</v>
      </c>
      <c r="K34" s="6" t="s">
        <v>208</v>
      </c>
      <c r="L34" s="6" t="s">
        <v>37</v>
      </c>
    </row>
    <row r="35" spans="1:12" ht="19.5" customHeight="1">
      <c r="A35" s="6" t="s">
        <v>125</v>
      </c>
      <c r="B35" s="6" t="s">
        <v>170</v>
      </c>
      <c r="C35" s="6" t="s">
        <v>23</v>
      </c>
      <c r="D35" s="6" t="s">
        <v>222</v>
      </c>
      <c r="E35" s="6" t="s">
        <v>223</v>
      </c>
      <c r="F35" s="6" t="s">
        <v>224</v>
      </c>
      <c r="G35" s="6" t="s">
        <v>105</v>
      </c>
      <c r="H35" s="6" t="s">
        <v>225</v>
      </c>
      <c r="I35" s="8">
        <v>0</v>
      </c>
      <c r="J35" s="8">
        <v>0</v>
      </c>
      <c r="K35" s="6" t="s">
        <v>226</v>
      </c>
      <c r="L35" s="6" t="s">
        <v>37</v>
      </c>
    </row>
    <row r="36" spans="1:12" ht="19.5" customHeight="1">
      <c r="A36" s="6" t="s">
        <v>125</v>
      </c>
      <c r="B36" s="6" t="s">
        <v>170</v>
      </c>
      <c r="C36" s="6" t="s">
        <v>23</v>
      </c>
      <c r="D36" s="6" t="s">
        <v>227</v>
      </c>
      <c r="E36" s="6" t="s">
        <v>228</v>
      </c>
      <c r="F36" s="6" t="s">
        <v>224</v>
      </c>
      <c r="G36" s="6" t="s">
        <v>105</v>
      </c>
      <c r="H36" s="6" t="s">
        <v>225</v>
      </c>
      <c r="I36" s="8">
        <v>0</v>
      </c>
      <c r="J36" s="8">
        <v>0</v>
      </c>
      <c r="K36" s="6" t="s">
        <v>226</v>
      </c>
      <c r="L36" s="6" t="s">
        <v>37</v>
      </c>
    </row>
    <row r="37" spans="1:12" ht="19.5" customHeight="1">
      <c r="A37" s="6" t="s">
        <v>125</v>
      </c>
      <c r="B37" s="6" t="s">
        <v>170</v>
      </c>
      <c r="C37" s="6" t="s">
        <v>23</v>
      </c>
      <c r="D37" s="6" t="s">
        <v>231</v>
      </c>
      <c r="E37" s="6" t="s">
        <v>232</v>
      </c>
      <c r="F37" s="6" t="s">
        <v>233</v>
      </c>
      <c r="G37" s="6" t="s">
        <v>105</v>
      </c>
      <c r="H37" s="6" t="s">
        <v>234</v>
      </c>
      <c r="I37" s="8">
        <f t="shared" ref="I37:I39" si="0">2*744*0.013</f>
        <v>19.343999999999998</v>
      </c>
      <c r="J37" s="8">
        <v>1.2999999999999999E-2</v>
      </c>
      <c r="K37" s="6" t="s">
        <v>238</v>
      </c>
      <c r="L37" s="6" t="s">
        <v>190</v>
      </c>
    </row>
    <row r="38" spans="1:12" ht="19.5" customHeight="1">
      <c r="A38" s="6" t="s">
        <v>125</v>
      </c>
      <c r="B38" s="6" t="s">
        <v>170</v>
      </c>
      <c r="C38" s="6" t="s">
        <v>23</v>
      </c>
      <c r="D38" s="6" t="s">
        <v>239</v>
      </c>
      <c r="E38" s="6" t="s">
        <v>240</v>
      </c>
      <c r="F38" s="6" t="s">
        <v>233</v>
      </c>
      <c r="G38" s="6" t="s">
        <v>105</v>
      </c>
      <c r="H38" s="6" t="s">
        <v>241</v>
      </c>
      <c r="I38" s="8">
        <f t="shared" si="0"/>
        <v>19.343999999999998</v>
      </c>
      <c r="J38" s="8">
        <v>1.2999999999999999E-2</v>
      </c>
      <c r="K38" s="6" t="s">
        <v>238</v>
      </c>
      <c r="L38" s="6" t="s">
        <v>190</v>
      </c>
    </row>
    <row r="39" spans="1:12" ht="19.5" customHeight="1">
      <c r="A39" s="6" t="s">
        <v>125</v>
      </c>
      <c r="B39" s="6" t="s">
        <v>170</v>
      </c>
      <c r="C39" s="6" t="s">
        <v>23</v>
      </c>
      <c r="D39" s="6" t="s">
        <v>244</v>
      </c>
      <c r="E39" s="6" t="s">
        <v>245</v>
      </c>
      <c r="F39" s="6" t="s">
        <v>233</v>
      </c>
      <c r="G39" s="6" t="s">
        <v>105</v>
      </c>
      <c r="H39" s="6" t="s">
        <v>247</v>
      </c>
      <c r="I39" s="8">
        <f t="shared" si="0"/>
        <v>19.343999999999998</v>
      </c>
      <c r="J39" s="8">
        <v>1.2999999999999999E-2</v>
      </c>
      <c r="K39" s="6" t="s">
        <v>238</v>
      </c>
      <c r="L39" s="6" t="s">
        <v>190</v>
      </c>
    </row>
    <row r="40" spans="1:12" ht="19.5" customHeight="1">
      <c r="A40" s="6" t="s">
        <v>125</v>
      </c>
      <c r="B40" s="6" t="s">
        <v>213</v>
      </c>
      <c r="C40" s="6" t="s">
        <v>23</v>
      </c>
      <c r="D40" s="6" t="s">
        <v>248</v>
      </c>
      <c r="E40" s="6" t="s">
        <v>249</v>
      </c>
      <c r="F40" s="6" t="s">
        <v>213</v>
      </c>
      <c r="G40" s="6" t="s">
        <v>105</v>
      </c>
      <c r="H40" s="6" t="s">
        <v>250</v>
      </c>
      <c r="I40" s="8">
        <v>0</v>
      </c>
      <c r="J40" s="8">
        <v>0</v>
      </c>
      <c r="K40" s="6" t="s">
        <v>251</v>
      </c>
      <c r="L40" s="6" t="s">
        <v>37</v>
      </c>
    </row>
    <row r="41" spans="1:12" ht="19.5" customHeight="1">
      <c r="A41" s="6" t="s">
        <v>125</v>
      </c>
      <c r="B41" s="6" t="s">
        <v>213</v>
      </c>
      <c r="C41" s="6" t="s">
        <v>23</v>
      </c>
      <c r="D41" s="6" t="s">
        <v>253</v>
      </c>
      <c r="E41" s="6" t="s">
        <v>253</v>
      </c>
      <c r="F41" s="6" t="s">
        <v>213</v>
      </c>
      <c r="G41" s="6" t="s">
        <v>105</v>
      </c>
      <c r="H41" s="6" t="s">
        <v>255</v>
      </c>
      <c r="I41" s="8">
        <v>0</v>
      </c>
      <c r="J41" s="8">
        <v>0</v>
      </c>
      <c r="K41" s="6" t="s">
        <v>251</v>
      </c>
      <c r="L41" s="6" t="s">
        <v>37</v>
      </c>
    </row>
    <row r="42" spans="1:12" ht="19.5" customHeight="1">
      <c r="A42" s="6" t="s">
        <v>125</v>
      </c>
      <c r="B42" s="6" t="s">
        <v>213</v>
      </c>
      <c r="C42" s="6" t="s">
        <v>23</v>
      </c>
      <c r="D42" s="6" t="s">
        <v>256</v>
      </c>
      <c r="E42" s="6" t="s">
        <v>257</v>
      </c>
      <c r="F42" s="6" t="s">
        <v>213</v>
      </c>
      <c r="G42" s="6" t="s">
        <v>105</v>
      </c>
      <c r="H42" s="6" t="s">
        <v>258</v>
      </c>
      <c r="I42" s="8">
        <v>0</v>
      </c>
      <c r="J42" s="8">
        <v>0</v>
      </c>
      <c r="K42" s="6" t="s">
        <v>251</v>
      </c>
      <c r="L42" s="6" t="s">
        <v>37</v>
      </c>
    </row>
    <row r="43" spans="1:12" ht="19.5" customHeight="1">
      <c r="A43" s="6" t="s">
        <v>125</v>
      </c>
      <c r="B43" s="6" t="s">
        <v>219</v>
      </c>
      <c r="C43" s="6" t="s">
        <v>23</v>
      </c>
      <c r="D43" s="6" t="s">
        <v>259</v>
      </c>
      <c r="E43" s="6" t="s">
        <v>260</v>
      </c>
      <c r="F43" s="6" t="s">
        <v>219</v>
      </c>
      <c r="G43" s="6" t="s">
        <v>105</v>
      </c>
      <c r="H43" s="6" t="s">
        <v>263</v>
      </c>
      <c r="I43" s="8">
        <v>0</v>
      </c>
      <c r="J43" s="8">
        <v>0</v>
      </c>
      <c r="K43" s="6" t="s">
        <v>266</v>
      </c>
      <c r="L43" s="6" t="s">
        <v>37</v>
      </c>
    </row>
    <row r="44" spans="1:12" ht="19.5" customHeight="1">
      <c r="A44" s="6" t="s">
        <v>125</v>
      </c>
      <c r="B44" s="6" t="s">
        <v>219</v>
      </c>
      <c r="C44" s="6" t="s">
        <v>23</v>
      </c>
      <c r="D44" s="6" t="s">
        <v>267</v>
      </c>
      <c r="E44" s="6" t="s">
        <v>268</v>
      </c>
      <c r="F44" s="6" t="s">
        <v>219</v>
      </c>
      <c r="G44" s="6" t="s">
        <v>105</v>
      </c>
      <c r="H44" s="6" t="s">
        <v>270</v>
      </c>
      <c r="I44" s="8">
        <v>0</v>
      </c>
      <c r="J44" s="8">
        <v>0</v>
      </c>
      <c r="K44" s="6" t="s">
        <v>266</v>
      </c>
      <c r="L44" s="6" t="s">
        <v>37</v>
      </c>
    </row>
    <row r="45" spans="1:12" ht="19.5" customHeight="1">
      <c r="A45" s="6" t="s">
        <v>125</v>
      </c>
      <c r="B45" s="6" t="s">
        <v>219</v>
      </c>
      <c r="C45" s="6" t="s">
        <v>23</v>
      </c>
      <c r="D45" s="6" t="s">
        <v>187</v>
      </c>
      <c r="E45" s="6" t="s">
        <v>273</v>
      </c>
      <c r="F45" s="6" t="s">
        <v>219</v>
      </c>
      <c r="G45" s="6" t="s">
        <v>105</v>
      </c>
      <c r="H45" s="6" t="s">
        <v>278</v>
      </c>
      <c r="I45" s="8">
        <v>0</v>
      </c>
      <c r="J45" s="8">
        <v>0</v>
      </c>
      <c r="K45" s="6" t="s">
        <v>266</v>
      </c>
      <c r="L45" s="6" t="s">
        <v>37</v>
      </c>
    </row>
    <row r="46" spans="1:12" ht="19.5" customHeight="1">
      <c r="A46" s="6" t="s">
        <v>125</v>
      </c>
      <c r="B46" s="6" t="s">
        <v>219</v>
      </c>
      <c r="C46" s="6" t="s">
        <v>23</v>
      </c>
      <c r="D46" s="6" t="s">
        <v>279</v>
      </c>
      <c r="E46" s="6" t="s">
        <v>282</v>
      </c>
      <c r="F46" s="6" t="s">
        <v>219</v>
      </c>
      <c r="G46" s="6" t="s">
        <v>105</v>
      </c>
      <c r="H46" s="6" t="s">
        <v>283</v>
      </c>
      <c r="I46" s="8">
        <v>0</v>
      </c>
      <c r="J46" s="8">
        <v>0</v>
      </c>
      <c r="K46" s="6" t="s">
        <v>266</v>
      </c>
      <c r="L46" s="6" t="s">
        <v>37</v>
      </c>
    </row>
    <row r="47" spans="1:12" ht="19.5" customHeight="1">
      <c r="A47" s="6" t="s">
        <v>125</v>
      </c>
      <c r="B47" s="6" t="s">
        <v>219</v>
      </c>
      <c r="C47" s="6" t="s">
        <v>23</v>
      </c>
      <c r="D47" s="6" t="s">
        <v>285</v>
      </c>
      <c r="E47" s="6" t="s">
        <v>288</v>
      </c>
      <c r="F47" s="6" t="s">
        <v>219</v>
      </c>
      <c r="G47" s="6" t="s">
        <v>105</v>
      </c>
      <c r="H47" s="6" t="s">
        <v>291</v>
      </c>
      <c r="I47" s="8">
        <v>0</v>
      </c>
      <c r="J47" s="8">
        <v>0</v>
      </c>
      <c r="K47" s="6" t="s">
        <v>266</v>
      </c>
      <c r="L47" s="6" t="s">
        <v>37</v>
      </c>
    </row>
    <row r="48" spans="1:12" ht="19.5" customHeight="1">
      <c r="A48" s="6" t="s">
        <v>125</v>
      </c>
      <c r="B48" s="6" t="s">
        <v>219</v>
      </c>
      <c r="C48" s="6" t="s">
        <v>23</v>
      </c>
      <c r="D48" s="6" t="s">
        <v>292</v>
      </c>
      <c r="E48" s="6" t="s">
        <v>292</v>
      </c>
      <c r="F48" s="6" t="s">
        <v>219</v>
      </c>
      <c r="G48" s="6" t="s">
        <v>105</v>
      </c>
      <c r="H48" s="6" t="s">
        <v>295</v>
      </c>
      <c r="I48" s="8">
        <v>0</v>
      </c>
      <c r="J48" s="8">
        <v>0</v>
      </c>
      <c r="K48" s="6" t="s">
        <v>266</v>
      </c>
      <c r="L48" s="6" t="s">
        <v>37</v>
      </c>
    </row>
    <row r="49" spans="1:12" ht="19.5" customHeight="1">
      <c r="A49" s="6" t="s">
        <v>125</v>
      </c>
      <c r="B49" s="6" t="s">
        <v>219</v>
      </c>
      <c r="C49" s="6" t="s">
        <v>23</v>
      </c>
      <c r="D49" s="6" t="s">
        <v>299</v>
      </c>
      <c r="E49" s="6" t="s">
        <v>301</v>
      </c>
      <c r="F49" s="6" t="s">
        <v>219</v>
      </c>
      <c r="G49" s="6" t="s">
        <v>105</v>
      </c>
      <c r="H49" s="6" t="s">
        <v>302</v>
      </c>
      <c r="I49" s="8">
        <v>0</v>
      </c>
      <c r="J49" s="8">
        <v>0</v>
      </c>
      <c r="K49" s="6" t="s">
        <v>266</v>
      </c>
      <c r="L49" s="6" t="s">
        <v>37</v>
      </c>
    </row>
    <row r="50" spans="1:12" ht="19.5" customHeight="1">
      <c r="A50" s="6" t="s">
        <v>125</v>
      </c>
      <c r="B50" s="6" t="s">
        <v>219</v>
      </c>
      <c r="C50" s="6" t="s">
        <v>23</v>
      </c>
      <c r="D50" s="6" t="s">
        <v>305</v>
      </c>
      <c r="E50" s="6" t="s">
        <v>305</v>
      </c>
      <c r="F50" s="6" t="s">
        <v>219</v>
      </c>
      <c r="G50" s="6" t="s">
        <v>105</v>
      </c>
      <c r="H50" s="6" t="s">
        <v>306</v>
      </c>
      <c r="I50" s="8">
        <v>0</v>
      </c>
      <c r="J50" s="8">
        <v>0</v>
      </c>
      <c r="K50" s="6" t="s">
        <v>266</v>
      </c>
      <c r="L50" s="6" t="s">
        <v>37</v>
      </c>
    </row>
    <row r="51" spans="1:12" ht="19.5" customHeight="1">
      <c r="A51" s="6" t="s">
        <v>125</v>
      </c>
      <c r="B51" s="6" t="s">
        <v>219</v>
      </c>
      <c r="C51" s="6" t="s">
        <v>23</v>
      </c>
      <c r="D51" s="6" t="s">
        <v>311</v>
      </c>
      <c r="E51" s="6" t="s">
        <v>311</v>
      </c>
      <c r="F51" s="6" t="s">
        <v>219</v>
      </c>
      <c r="G51" s="6" t="s">
        <v>105</v>
      </c>
      <c r="H51" s="6" t="s">
        <v>313</v>
      </c>
      <c r="I51" s="8">
        <v>0</v>
      </c>
      <c r="J51" s="8">
        <v>0</v>
      </c>
      <c r="K51" s="6" t="s">
        <v>266</v>
      </c>
      <c r="L51" s="6" t="s">
        <v>37</v>
      </c>
    </row>
    <row r="52" spans="1:12" ht="19.5" customHeight="1">
      <c r="A52" s="6" t="s">
        <v>125</v>
      </c>
      <c r="B52" s="6" t="s">
        <v>219</v>
      </c>
      <c r="C52" s="6" t="s">
        <v>23</v>
      </c>
      <c r="D52" s="6" t="s">
        <v>315</v>
      </c>
      <c r="E52" s="6" t="s">
        <v>316</v>
      </c>
      <c r="F52" s="6" t="s">
        <v>219</v>
      </c>
      <c r="G52" s="6" t="s">
        <v>105</v>
      </c>
      <c r="H52" s="6" t="s">
        <v>320</v>
      </c>
      <c r="I52" s="8">
        <v>0</v>
      </c>
      <c r="J52" s="8">
        <v>0</v>
      </c>
      <c r="K52" s="6" t="s">
        <v>266</v>
      </c>
      <c r="L52" s="6" t="s">
        <v>37</v>
      </c>
    </row>
    <row r="53" spans="1:12" ht="19.5" customHeight="1">
      <c r="A53" s="6" t="s">
        <v>125</v>
      </c>
      <c r="B53" s="6" t="s">
        <v>219</v>
      </c>
      <c r="C53" s="6" t="s">
        <v>23</v>
      </c>
      <c r="D53" s="6" t="s">
        <v>324</v>
      </c>
      <c r="E53" s="6" t="s">
        <v>324</v>
      </c>
      <c r="F53" s="6" t="s">
        <v>219</v>
      </c>
      <c r="G53" s="6" t="s">
        <v>105</v>
      </c>
      <c r="H53" s="6" t="s">
        <v>325</v>
      </c>
      <c r="I53" s="8">
        <v>0</v>
      </c>
      <c r="J53" s="8">
        <v>0</v>
      </c>
      <c r="K53" s="6" t="s">
        <v>266</v>
      </c>
      <c r="L53" s="6" t="s">
        <v>37</v>
      </c>
    </row>
    <row r="54" spans="1:12" ht="19.5" customHeight="1">
      <c r="A54" s="6" t="s">
        <v>125</v>
      </c>
      <c r="B54" s="6" t="s">
        <v>229</v>
      </c>
      <c r="C54" s="6" t="s">
        <v>23</v>
      </c>
      <c r="D54" s="6" t="s">
        <v>327</v>
      </c>
      <c r="E54" s="6" t="s">
        <v>327</v>
      </c>
      <c r="F54" s="6" t="s">
        <v>229</v>
      </c>
      <c r="G54" s="6" t="s">
        <v>328</v>
      </c>
      <c r="H54" s="6" t="s">
        <v>329</v>
      </c>
      <c r="I54" s="8">
        <v>0</v>
      </c>
      <c r="J54" s="8">
        <v>0</v>
      </c>
      <c r="K54" s="6" t="s">
        <v>330</v>
      </c>
      <c r="L54" s="6" t="s">
        <v>37</v>
      </c>
    </row>
    <row r="55" spans="1:12" ht="19.5" customHeight="1">
      <c r="A55" s="6" t="s">
        <v>125</v>
      </c>
      <c r="B55" s="6" t="s">
        <v>229</v>
      </c>
      <c r="C55" s="6" t="s">
        <v>23</v>
      </c>
      <c r="D55" s="6" t="s">
        <v>331</v>
      </c>
      <c r="E55" s="6" t="s">
        <v>332</v>
      </c>
      <c r="F55" s="6" t="s">
        <v>229</v>
      </c>
      <c r="G55" s="6" t="s">
        <v>328</v>
      </c>
      <c r="H55" s="6" t="s">
        <v>329</v>
      </c>
      <c r="I55" s="8">
        <v>0</v>
      </c>
      <c r="J55" s="8">
        <v>0</v>
      </c>
      <c r="K55" s="6" t="s">
        <v>330</v>
      </c>
      <c r="L55" s="6" t="s">
        <v>37</v>
      </c>
    </row>
    <row r="56" spans="1:12" ht="19.5" customHeight="1">
      <c r="A56" s="6" t="s">
        <v>125</v>
      </c>
      <c r="B56" s="6" t="s">
        <v>229</v>
      </c>
      <c r="C56" s="6" t="s">
        <v>23</v>
      </c>
      <c r="D56" s="6" t="s">
        <v>333</v>
      </c>
      <c r="E56" s="6" t="s">
        <v>334</v>
      </c>
      <c r="F56" s="6" t="s">
        <v>229</v>
      </c>
      <c r="G56" s="6" t="s">
        <v>328</v>
      </c>
      <c r="H56" s="6" t="s">
        <v>329</v>
      </c>
      <c r="I56" s="8">
        <v>0</v>
      </c>
      <c r="J56" s="8">
        <v>0</v>
      </c>
      <c r="K56" s="6" t="s">
        <v>330</v>
      </c>
      <c r="L56" s="6" t="s">
        <v>37</v>
      </c>
    </row>
    <row r="57" spans="1:12" ht="19.5" customHeight="1">
      <c r="A57" s="6" t="s">
        <v>125</v>
      </c>
      <c r="B57" s="6" t="s">
        <v>235</v>
      </c>
      <c r="C57" s="6" t="s">
        <v>23</v>
      </c>
      <c r="D57" s="6" t="s">
        <v>335</v>
      </c>
      <c r="E57" s="6" t="s">
        <v>336</v>
      </c>
      <c r="F57" s="6" t="s">
        <v>235</v>
      </c>
      <c r="G57" s="6" t="s">
        <v>198</v>
      </c>
      <c r="H57" s="6" t="s">
        <v>337</v>
      </c>
      <c r="I57" s="8">
        <v>0</v>
      </c>
      <c r="J57" s="8">
        <v>0</v>
      </c>
      <c r="K57" s="6" t="s">
        <v>338</v>
      </c>
      <c r="L57" s="6" t="s">
        <v>37</v>
      </c>
    </row>
    <row r="58" spans="1:12" ht="19.5" customHeight="1">
      <c r="A58" s="6" t="s">
        <v>125</v>
      </c>
      <c r="B58" s="6" t="s">
        <v>235</v>
      </c>
      <c r="C58" s="6" t="s">
        <v>23</v>
      </c>
      <c r="D58" s="6" t="s">
        <v>339</v>
      </c>
      <c r="E58" s="6" t="s">
        <v>340</v>
      </c>
      <c r="F58" s="6" t="s">
        <v>235</v>
      </c>
      <c r="G58" s="6" t="s">
        <v>198</v>
      </c>
      <c r="H58" s="6" t="s">
        <v>341</v>
      </c>
      <c r="I58" s="8">
        <v>0</v>
      </c>
      <c r="J58" s="8">
        <v>0</v>
      </c>
      <c r="K58" s="6" t="s">
        <v>338</v>
      </c>
      <c r="L58" s="6" t="s">
        <v>37</v>
      </c>
    </row>
    <row r="59" spans="1:12" ht="19.5" customHeight="1">
      <c r="A59" s="6" t="s">
        <v>125</v>
      </c>
      <c r="B59" s="6" t="s">
        <v>235</v>
      </c>
      <c r="C59" s="6" t="s">
        <v>23</v>
      </c>
      <c r="D59" s="6" t="s">
        <v>342</v>
      </c>
      <c r="E59" s="6" t="s">
        <v>343</v>
      </c>
      <c r="F59" s="6" t="s">
        <v>235</v>
      </c>
      <c r="G59" s="6" t="s">
        <v>198</v>
      </c>
      <c r="H59" s="6" t="s">
        <v>341</v>
      </c>
      <c r="I59" s="8">
        <v>0</v>
      </c>
      <c r="J59" s="8">
        <v>0</v>
      </c>
      <c r="K59" s="6" t="s">
        <v>338</v>
      </c>
      <c r="L59" s="6" t="s">
        <v>37</v>
      </c>
    </row>
    <row r="60" spans="1:12" ht="19.5" customHeight="1">
      <c r="A60" s="6" t="s">
        <v>125</v>
      </c>
      <c r="B60" s="6" t="s">
        <v>235</v>
      </c>
      <c r="C60" s="6" t="s">
        <v>23</v>
      </c>
      <c r="D60" s="6" t="s">
        <v>344</v>
      </c>
      <c r="E60" s="6" t="s">
        <v>344</v>
      </c>
      <c r="F60" s="6" t="s">
        <v>235</v>
      </c>
      <c r="G60" s="6" t="s">
        <v>198</v>
      </c>
      <c r="H60" s="6" t="s">
        <v>345</v>
      </c>
      <c r="I60" s="8">
        <v>0</v>
      </c>
      <c r="J60" s="8">
        <v>0</v>
      </c>
      <c r="K60" s="6" t="s">
        <v>338</v>
      </c>
      <c r="L60" s="6" t="s">
        <v>37</v>
      </c>
    </row>
    <row r="61" spans="1:12" ht="19.5" customHeight="1">
      <c r="A61" s="6" t="s">
        <v>125</v>
      </c>
      <c r="B61" s="6" t="s">
        <v>235</v>
      </c>
      <c r="C61" s="6" t="s">
        <v>23</v>
      </c>
      <c r="D61" s="6" t="s">
        <v>346</v>
      </c>
      <c r="E61" s="6" t="s">
        <v>346</v>
      </c>
      <c r="F61" s="6" t="s">
        <v>235</v>
      </c>
      <c r="G61" s="6" t="s">
        <v>198</v>
      </c>
      <c r="H61" s="6" t="s">
        <v>345</v>
      </c>
      <c r="I61" s="8">
        <v>0</v>
      </c>
      <c r="J61" s="8">
        <v>0</v>
      </c>
      <c r="K61" s="6" t="s">
        <v>338</v>
      </c>
      <c r="L61" s="6" t="s">
        <v>37</v>
      </c>
    </row>
    <row r="62" spans="1:12" ht="19.5" customHeight="1">
      <c r="A62" s="6" t="s">
        <v>125</v>
      </c>
      <c r="B62" s="6" t="s">
        <v>235</v>
      </c>
      <c r="C62" s="6" t="s">
        <v>23</v>
      </c>
      <c r="D62" s="6" t="s">
        <v>347</v>
      </c>
      <c r="E62" s="6" t="s">
        <v>348</v>
      </c>
      <c r="F62" s="6" t="s">
        <v>235</v>
      </c>
      <c r="G62" s="6" t="s">
        <v>198</v>
      </c>
      <c r="H62" s="6" t="s">
        <v>345</v>
      </c>
      <c r="I62" s="8">
        <v>0</v>
      </c>
      <c r="J62" s="8">
        <v>0</v>
      </c>
      <c r="K62" s="6" t="s">
        <v>338</v>
      </c>
      <c r="L62" s="6" t="s">
        <v>37</v>
      </c>
    </row>
    <row r="63" spans="1:12" ht="19.5" customHeight="1">
      <c r="A63" s="6" t="s">
        <v>125</v>
      </c>
      <c r="B63" s="6" t="s">
        <v>235</v>
      </c>
      <c r="C63" s="6" t="s">
        <v>23</v>
      </c>
      <c r="D63" s="6" t="s">
        <v>349</v>
      </c>
      <c r="E63" s="6" t="s">
        <v>349</v>
      </c>
      <c r="F63" s="6" t="s">
        <v>235</v>
      </c>
      <c r="G63" s="6" t="s">
        <v>198</v>
      </c>
      <c r="H63" s="6" t="s">
        <v>337</v>
      </c>
      <c r="I63" s="8">
        <v>0</v>
      </c>
      <c r="J63" s="8">
        <v>0</v>
      </c>
      <c r="K63" s="6" t="s">
        <v>338</v>
      </c>
      <c r="L63" s="6" t="s">
        <v>37</v>
      </c>
    </row>
    <row r="64" spans="1:12" ht="19.5" customHeight="1">
      <c r="A64" s="6" t="s">
        <v>125</v>
      </c>
      <c r="B64" s="6" t="s">
        <v>242</v>
      </c>
      <c r="C64" s="6" t="s">
        <v>23</v>
      </c>
      <c r="D64" s="6" t="s">
        <v>350</v>
      </c>
      <c r="E64" s="6" t="s">
        <v>351</v>
      </c>
      <c r="F64" s="6" t="s">
        <v>242</v>
      </c>
      <c r="G64" s="6" t="s">
        <v>198</v>
      </c>
      <c r="H64" s="6" t="s">
        <v>248</v>
      </c>
      <c r="I64" s="8">
        <v>0</v>
      </c>
      <c r="J64" s="8">
        <v>0</v>
      </c>
      <c r="K64" s="6" t="s">
        <v>352</v>
      </c>
      <c r="L64" s="6" t="s">
        <v>37</v>
      </c>
    </row>
    <row r="65" spans="1:12" ht="19.5" customHeight="1">
      <c r="A65" s="6" t="s">
        <v>125</v>
      </c>
      <c r="B65" s="6" t="s">
        <v>242</v>
      </c>
      <c r="C65" s="6" t="s">
        <v>23</v>
      </c>
      <c r="D65" s="6" t="s">
        <v>353</v>
      </c>
      <c r="E65" s="6" t="s">
        <v>354</v>
      </c>
      <c r="F65" s="6" t="s">
        <v>242</v>
      </c>
      <c r="G65" s="6" t="s">
        <v>198</v>
      </c>
      <c r="H65" s="6" t="s">
        <v>248</v>
      </c>
      <c r="I65" s="8">
        <v>0</v>
      </c>
      <c r="J65" s="8">
        <v>0</v>
      </c>
      <c r="K65" s="6" t="s">
        <v>352</v>
      </c>
      <c r="L65" s="6" t="s">
        <v>37</v>
      </c>
    </row>
    <row r="66" spans="1:12" ht="19.5" customHeight="1">
      <c r="A66" s="6" t="s">
        <v>125</v>
      </c>
      <c r="B66" s="6" t="s">
        <v>242</v>
      </c>
      <c r="C66" s="6" t="s">
        <v>23</v>
      </c>
      <c r="D66" s="6" t="s">
        <v>355</v>
      </c>
      <c r="E66" s="6" t="s">
        <v>356</v>
      </c>
      <c r="F66" s="6" t="s">
        <v>242</v>
      </c>
      <c r="G66" s="6" t="s">
        <v>198</v>
      </c>
      <c r="H66" s="6" t="s">
        <v>248</v>
      </c>
      <c r="I66" s="8">
        <v>0</v>
      </c>
      <c r="J66" s="8">
        <v>0</v>
      </c>
      <c r="K66" s="6" t="s">
        <v>352</v>
      </c>
      <c r="L66" s="6" t="s">
        <v>37</v>
      </c>
    </row>
    <row r="67" spans="1:12" ht="19.5" customHeight="1">
      <c r="A67" s="6" t="s">
        <v>125</v>
      </c>
      <c r="B67" s="6" t="s">
        <v>242</v>
      </c>
      <c r="C67" s="6" t="s">
        <v>23</v>
      </c>
      <c r="D67" s="6" t="s">
        <v>357</v>
      </c>
      <c r="E67" s="6" t="s">
        <v>358</v>
      </c>
      <c r="F67" s="6" t="s">
        <v>242</v>
      </c>
      <c r="G67" s="6" t="s">
        <v>198</v>
      </c>
      <c r="H67" s="6" t="s">
        <v>248</v>
      </c>
      <c r="I67" s="8">
        <v>0</v>
      </c>
      <c r="J67" s="8">
        <v>0</v>
      </c>
      <c r="K67" s="6" t="s">
        <v>352</v>
      </c>
      <c r="L67" s="6" t="s">
        <v>37</v>
      </c>
    </row>
    <row r="68" spans="1:12" ht="19.5" customHeight="1">
      <c r="A68" s="6" t="s">
        <v>125</v>
      </c>
      <c r="B68" s="6" t="s">
        <v>242</v>
      </c>
      <c r="C68" s="6" t="s">
        <v>23</v>
      </c>
      <c r="D68" s="6" t="s">
        <v>359</v>
      </c>
      <c r="E68" s="6" t="s">
        <v>360</v>
      </c>
      <c r="F68" s="6" t="s">
        <v>242</v>
      </c>
      <c r="G68" s="6" t="s">
        <v>198</v>
      </c>
      <c r="H68" s="6" t="s">
        <v>248</v>
      </c>
      <c r="I68" s="8">
        <v>0</v>
      </c>
      <c r="J68" s="8">
        <v>0</v>
      </c>
      <c r="K68" s="6" t="s">
        <v>352</v>
      </c>
      <c r="L68" s="6" t="s">
        <v>37</v>
      </c>
    </row>
    <row r="69" spans="1:12" ht="19.5" customHeight="1">
      <c r="A69" s="6" t="s">
        <v>125</v>
      </c>
      <c r="B69" s="6" t="s">
        <v>242</v>
      </c>
      <c r="C69" s="6" t="s">
        <v>23</v>
      </c>
      <c r="D69" s="6" t="s">
        <v>361</v>
      </c>
      <c r="E69" s="6" t="s">
        <v>362</v>
      </c>
      <c r="F69" s="6" t="s">
        <v>242</v>
      </c>
      <c r="G69" s="6" t="s">
        <v>198</v>
      </c>
      <c r="H69" s="6" t="s">
        <v>248</v>
      </c>
      <c r="I69" s="8">
        <v>0</v>
      </c>
      <c r="J69" s="8">
        <v>0</v>
      </c>
      <c r="K69" s="6" t="s">
        <v>352</v>
      </c>
      <c r="L69" s="6" t="s">
        <v>37</v>
      </c>
    </row>
    <row r="70" spans="1:12" ht="19.5" customHeight="1">
      <c r="A70" s="6" t="s">
        <v>125</v>
      </c>
      <c r="B70" s="6" t="s">
        <v>242</v>
      </c>
      <c r="C70" s="6" t="s">
        <v>23</v>
      </c>
      <c r="D70" s="6" t="s">
        <v>363</v>
      </c>
      <c r="E70" s="6" t="s">
        <v>351</v>
      </c>
      <c r="F70" s="6" t="s">
        <v>242</v>
      </c>
      <c r="G70" s="6" t="s">
        <v>198</v>
      </c>
      <c r="H70" s="6" t="s">
        <v>256</v>
      </c>
      <c r="I70" s="8">
        <v>0</v>
      </c>
      <c r="J70" s="8">
        <v>0</v>
      </c>
      <c r="K70" s="6" t="s">
        <v>352</v>
      </c>
      <c r="L70" s="6" t="s">
        <v>37</v>
      </c>
    </row>
    <row r="71" spans="1:12" ht="19.5" customHeight="1">
      <c r="A71" s="6" t="s">
        <v>125</v>
      </c>
      <c r="B71" s="6" t="s">
        <v>242</v>
      </c>
      <c r="C71" s="6" t="s">
        <v>23</v>
      </c>
      <c r="D71" s="6" t="s">
        <v>364</v>
      </c>
      <c r="E71" s="6" t="s">
        <v>365</v>
      </c>
      <c r="F71" s="6" t="s">
        <v>242</v>
      </c>
      <c r="G71" s="6" t="s">
        <v>198</v>
      </c>
      <c r="H71" s="6" t="s">
        <v>248</v>
      </c>
      <c r="I71" s="8">
        <v>0</v>
      </c>
      <c r="J71" s="8">
        <v>0</v>
      </c>
      <c r="K71" s="6" t="s">
        <v>352</v>
      </c>
      <c r="L71" s="6" t="s">
        <v>37</v>
      </c>
    </row>
    <row r="72" spans="1:12" ht="19.5" customHeight="1">
      <c r="A72" s="6" t="s">
        <v>125</v>
      </c>
      <c r="B72" s="6" t="s">
        <v>242</v>
      </c>
      <c r="C72" s="6" t="s">
        <v>23</v>
      </c>
      <c r="D72" s="6" t="s">
        <v>366</v>
      </c>
      <c r="E72" s="6" t="s">
        <v>367</v>
      </c>
      <c r="F72" s="6" t="s">
        <v>242</v>
      </c>
      <c r="G72" s="6" t="s">
        <v>198</v>
      </c>
      <c r="H72" s="6" t="s">
        <v>256</v>
      </c>
      <c r="I72" s="8">
        <v>0</v>
      </c>
      <c r="J72" s="8">
        <v>0</v>
      </c>
      <c r="K72" s="6" t="s">
        <v>352</v>
      </c>
      <c r="L72" s="6" t="s">
        <v>37</v>
      </c>
    </row>
    <row r="73" spans="1:12" ht="19.5" customHeight="1">
      <c r="A73" s="6" t="s">
        <v>125</v>
      </c>
      <c r="B73" s="6" t="s">
        <v>242</v>
      </c>
      <c r="C73" s="6" t="s">
        <v>23</v>
      </c>
      <c r="D73" s="6" t="s">
        <v>368</v>
      </c>
      <c r="E73" s="6" t="s">
        <v>351</v>
      </c>
      <c r="F73" s="6" t="s">
        <v>242</v>
      </c>
      <c r="G73" s="6" t="s">
        <v>198</v>
      </c>
      <c r="H73" s="6" t="s">
        <v>253</v>
      </c>
      <c r="I73" s="8">
        <v>0</v>
      </c>
      <c r="J73" s="8">
        <v>0</v>
      </c>
      <c r="K73" s="6" t="s">
        <v>352</v>
      </c>
      <c r="L73" s="6" t="s">
        <v>37</v>
      </c>
    </row>
    <row r="74" spans="1:12" ht="19.5" customHeight="1">
      <c r="A74" s="6" t="s">
        <v>125</v>
      </c>
      <c r="B74" s="6" t="s">
        <v>242</v>
      </c>
      <c r="C74" s="6" t="s">
        <v>23</v>
      </c>
      <c r="D74" s="6" t="s">
        <v>369</v>
      </c>
      <c r="E74" s="6" t="s">
        <v>370</v>
      </c>
      <c r="F74" s="6" t="s">
        <v>242</v>
      </c>
      <c r="G74" s="6" t="s">
        <v>198</v>
      </c>
      <c r="H74" s="6" t="s">
        <v>248</v>
      </c>
      <c r="I74" s="8">
        <v>0</v>
      </c>
      <c r="J74" s="8">
        <v>0</v>
      </c>
      <c r="K74" s="6" t="s">
        <v>352</v>
      </c>
      <c r="L74" s="6" t="s">
        <v>37</v>
      </c>
    </row>
    <row r="75" spans="1:12" ht="19.5" customHeight="1">
      <c r="A75" s="6" t="s">
        <v>125</v>
      </c>
      <c r="B75" s="6" t="s">
        <v>252</v>
      </c>
      <c r="C75" s="6" t="s">
        <v>23</v>
      </c>
      <c r="D75" s="6" t="s">
        <v>371</v>
      </c>
      <c r="E75" s="6" t="s">
        <v>371</v>
      </c>
      <c r="F75" s="6" t="s">
        <v>252</v>
      </c>
      <c r="G75" s="6" t="s">
        <v>198</v>
      </c>
      <c r="H75" s="6" t="s">
        <v>256</v>
      </c>
      <c r="I75" s="8">
        <v>0</v>
      </c>
      <c r="J75" s="8">
        <v>0</v>
      </c>
      <c r="K75" s="6" t="s">
        <v>372</v>
      </c>
      <c r="L75" s="6" t="s">
        <v>37</v>
      </c>
    </row>
    <row r="76" spans="1:12" ht="19.5" customHeight="1">
      <c r="A76" s="6" t="s">
        <v>125</v>
      </c>
      <c r="B76" s="6" t="s">
        <v>252</v>
      </c>
      <c r="C76" s="6" t="s">
        <v>23</v>
      </c>
      <c r="D76" s="6" t="s">
        <v>373</v>
      </c>
      <c r="E76" s="6" t="s">
        <v>373</v>
      </c>
      <c r="F76" s="6" t="s">
        <v>252</v>
      </c>
      <c r="G76" s="6" t="s">
        <v>198</v>
      </c>
      <c r="H76" s="6" t="s">
        <v>248</v>
      </c>
      <c r="I76" s="8">
        <v>0</v>
      </c>
      <c r="J76" s="8">
        <v>0</v>
      </c>
      <c r="K76" s="6" t="s">
        <v>372</v>
      </c>
      <c r="L76" s="6" t="s">
        <v>37</v>
      </c>
    </row>
    <row r="77" spans="1:12" ht="19.5" customHeight="1">
      <c r="A77" s="6" t="s">
        <v>125</v>
      </c>
      <c r="B77" s="6" t="s">
        <v>252</v>
      </c>
      <c r="C77" s="6" t="s">
        <v>23</v>
      </c>
      <c r="D77" s="6" t="s">
        <v>374</v>
      </c>
      <c r="E77" s="6" t="s">
        <v>374</v>
      </c>
      <c r="F77" s="6" t="s">
        <v>252</v>
      </c>
      <c r="G77" s="6" t="s">
        <v>198</v>
      </c>
      <c r="H77" s="6" t="s">
        <v>253</v>
      </c>
      <c r="I77" s="8">
        <v>0</v>
      </c>
      <c r="J77" s="8">
        <v>0</v>
      </c>
      <c r="K77" s="6" t="s">
        <v>372</v>
      </c>
      <c r="L77" s="6" t="s">
        <v>37</v>
      </c>
    </row>
    <row r="78" spans="1:12" ht="19.5" customHeight="1">
      <c r="A78" s="6" t="s">
        <v>179</v>
      </c>
      <c r="B78" s="6" t="s">
        <v>261</v>
      </c>
      <c r="C78" s="6" t="s">
        <v>23</v>
      </c>
      <c r="D78" s="6" t="s">
        <v>499</v>
      </c>
      <c r="E78" s="6" t="s">
        <v>375</v>
      </c>
      <c r="F78" s="6" t="s">
        <v>376</v>
      </c>
      <c r="G78" s="6" t="s">
        <v>198</v>
      </c>
      <c r="H78" s="6" t="s">
        <v>377</v>
      </c>
      <c r="I78" s="22">
        <f t="shared" ref="I78:I95" si="1">J78*1</f>
        <v>0.1</v>
      </c>
      <c r="J78" s="23">
        <v>0.1</v>
      </c>
      <c r="K78" s="6" t="s">
        <v>378</v>
      </c>
      <c r="L78" s="6" t="s">
        <v>271</v>
      </c>
    </row>
    <row r="79" spans="1:12" ht="19.5" customHeight="1">
      <c r="A79" s="6" t="s">
        <v>179</v>
      </c>
      <c r="B79" s="6" t="s">
        <v>261</v>
      </c>
      <c r="C79" s="6" t="s">
        <v>23</v>
      </c>
      <c r="D79" s="6" t="s">
        <v>500</v>
      </c>
      <c r="E79" s="6" t="s">
        <v>379</v>
      </c>
      <c r="F79" s="6" t="s">
        <v>376</v>
      </c>
      <c r="G79" s="6" t="s">
        <v>198</v>
      </c>
      <c r="H79" s="6" t="s">
        <v>377</v>
      </c>
      <c r="I79" s="22">
        <f t="shared" si="1"/>
        <v>0.1</v>
      </c>
      <c r="J79" s="23">
        <v>0.1</v>
      </c>
      <c r="K79" s="6" t="s">
        <v>378</v>
      </c>
      <c r="L79" s="6" t="s">
        <v>271</v>
      </c>
    </row>
    <row r="80" spans="1:12" ht="19.5" customHeight="1">
      <c r="A80" s="6" t="s">
        <v>179</v>
      </c>
      <c r="B80" s="6" t="s">
        <v>261</v>
      </c>
      <c r="C80" s="6" t="s">
        <v>23</v>
      </c>
      <c r="D80" s="6" t="s">
        <v>501</v>
      </c>
      <c r="E80" s="6" t="s">
        <v>380</v>
      </c>
      <c r="F80" s="6" t="s">
        <v>376</v>
      </c>
      <c r="G80" s="6" t="s">
        <v>198</v>
      </c>
      <c r="H80" s="6" t="s">
        <v>377</v>
      </c>
      <c r="I80" s="22">
        <f t="shared" si="1"/>
        <v>0.1</v>
      </c>
      <c r="J80" s="23">
        <v>0.1</v>
      </c>
      <c r="K80" s="6" t="s">
        <v>378</v>
      </c>
      <c r="L80" s="6" t="s">
        <v>271</v>
      </c>
    </row>
    <row r="81" spans="1:12" ht="19.5" customHeight="1">
      <c r="A81" s="6" t="s">
        <v>179</v>
      </c>
      <c r="B81" s="6" t="s">
        <v>261</v>
      </c>
      <c r="C81" s="6" t="s">
        <v>23</v>
      </c>
      <c r="D81" s="6" t="s">
        <v>502</v>
      </c>
      <c r="E81" s="6" t="s">
        <v>381</v>
      </c>
      <c r="F81" s="6" t="s">
        <v>376</v>
      </c>
      <c r="G81" s="6" t="s">
        <v>198</v>
      </c>
      <c r="H81" s="6" t="s">
        <v>377</v>
      </c>
      <c r="I81" s="22">
        <f t="shared" si="1"/>
        <v>0.1</v>
      </c>
      <c r="J81" s="23">
        <v>0.1</v>
      </c>
      <c r="K81" s="6" t="s">
        <v>378</v>
      </c>
      <c r="L81" s="6" t="s">
        <v>271</v>
      </c>
    </row>
    <row r="82" spans="1:12" ht="19.5" customHeight="1">
      <c r="A82" s="6" t="s">
        <v>179</v>
      </c>
      <c r="B82" s="6" t="s">
        <v>261</v>
      </c>
      <c r="C82" s="6" t="s">
        <v>23</v>
      </c>
      <c r="D82" s="6" t="s">
        <v>503</v>
      </c>
      <c r="E82" s="6" t="s">
        <v>382</v>
      </c>
      <c r="F82" s="6" t="s">
        <v>376</v>
      </c>
      <c r="G82" s="6" t="s">
        <v>198</v>
      </c>
      <c r="H82" s="6" t="s">
        <v>377</v>
      </c>
      <c r="I82" s="22">
        <f t="shared" si="1"/>
        <v>0.1</v>
      </c>
      <c r="J82" s="23">
        <v>0.1</v>
      </c>
      <c r="K82" s="6" t="s">
        <v>378</v>
      </c>
      <c r="L82" s="6" t="s">
        <v>271</v>
      </c>
    </row>
    <row r="83" spans="1:12" ht="19.5" customHeight="1">
      <c r="A83" s="6" t="s">
        <v>179</v>
      </c>
      <c r="B83" s="6" t="s">
        <v>261</v>
      </c>
      <c r="C83" s="6" t="s">
        <v>23</v>
      </c>
      <c r="D83" s="6" t="s">
        <v>504</v>
      </c>
      <c r="E83" s="6" t="s">
        <v>383</v>
      </c>
      <c r="F83" s="6" t="s">
        <v>376</v>
      </c>
      <c r="G83" s="6" t="s">
        <v>198</v>
      </c>
      <c r="H83" s="6" t="s">
        <v>377</v>
      </c>
      <c r="I83" s="22">
        <f t="shared" si="1"/>
        <v>0.1</v>
      </c>
      <c r="J83" s="23">
        <v>0.1</v>
      </c>
      <c r="K83" s="6" t="s">
        <v>378</v>
      </c>
      <c r="L83" s="6" t="s">
        <v>271</v>
      </c>
    </row>
    <row r="84" spans="1:12" ht="19.5" customHeight="1">
      <c r="A84" s="6" t="s">
        <v>179</v>
      </c>
      <c r="B84" s="6" t="s">
        <v>261</v>
      </c>
      <c r="C84" s="6" t="s">
        <v>23</v>
      </c>
      <c r="D84" s="6" t="s">
        <v>505</v>
      </c>
      <c r="E84" s="6" t="s">
        <v>384</v>
      </c>
      <c r="F84" s="6" t="s">
        <v>376</v>
      </c>
      <c r="G84" s="6" t="s">
        <v>198</v>
      </c>
      <c r="H84" s="6" t="s">
        <v>377</v>
      </c>
      <c r="I84" s="22">
        <f t="shared" si="1"/>
        <v>0.1</v>
      </c>
      <c r="J84" s="23">
        <v>0.1</v>
      </c>
      <c r="K84" s="6" t="s">
        <v>378</v>
      </c>
      <c r="L84" s="6" t="s">
        <v>271</v>
      </c>
    </row>
    <row r="85" spans="1:12" ht="19.5" customHeight="1">
      <c r="A85" s="6" t="s">
        <v>179</v>
      </c>
      <c r="B85" s="6" t="s">
        <v>261</v>
      </c>
      <c r="C85" s="6" t="s">
        <v>23</v>
      </c>
      <c r="D85" s="6" t="s">
        <v>506</v>
      </c>
      <c r="E85" s="6" t="s">
        <v>385</v>
      </c>
      <c r="F85" s="6" t="s">
        <v>376</v>
      </c>
      <c r="G85" s="6" t="s">
        <v>198</v>
      </c>
      <c r="H85" s="6" t="s">
        <v>377</v>
      </c>
      <c r="I85" s="22">
        <f t="shared" si="1"/>
        <v>0.1</v>
      </c>
      <c r="J85" s="23">
        <v>0.1</v>
      </c>
      <c r="K85" s="6" t="s">
        <v>378</v>
      </c>
      <c r="L85" s="6" t="s">
        <v>271</v>
      </c>
    </row>
    <row r="86" spans="1:12" ht="19.5" customHeight="1">
      <c r="A86" s="6" t="s">
        <v>179</v>
      </c>
      <c r="B86" s="6" t="s">
        <v>261</v>
      </c>
      <c r="C86" s="6" t="s">
        <v>23</v>
      </c>
      <c r="D86" s="6" t="s">
        <v>507</v>
      </c>
      <c r="E86" s="6" t="s">
        <v>386</v>
      </c>
      <c r="F86" s="6" t="s">
        <v>376</v>
      </c>
      <c r="G86" s="6" t="s">
        <v>198</v>
      </c>
      <c r="H86" s="6" t="s">
        <v>377</v>
      </c>
      <c r="I86" s="22">
        <f t="shared" si="1"/>
        <v>0.1</v>
      </c>
      <c r="J86" s="23">
        <v>0.1</v>
      </c>
      <c r="K86" s="6" t="s">
        <v>378</v>
      </c>
      <c r="L86" s="6" t="s">
        <v>271</v>
      </c>
    </row>
    <row r="87" spans="1:12" ht="19.5" customHeight="1">
      <c r="A87" s="6" t="s">
        <v>179</v>
      </c>
      <c r="B87" s="6" t="s">
        <v>261</v>
      </c>
      <c r="C87" s="6" t="s">
        <v>23</v>
      </c>
      <c r="D87" s="6" t="s">
        <v>508</v>
      </c>
      <c r="E87" s="6" t="s">
        <v>387</v>
      </c>
      <c r="F87" s="6" t="s">
        <v>376</v>
      </c>
      <c r="G87" s="6" t="s">
        <v>198</v>
      </c>
      <c r="H87" s="6" t="s">
        <v>377</v>
      </c>
      <c r="I87" s="22">
        <f t="shared" si="1"/>
        <v>0.1</v>
      </c>
      <c r="J87" s="23">
        <v>0.1</v>
      </c>
      <c r="K87" s="6" t="s">
        <v>378</v>
      </c>
      <c r="L87" s="6" t="s">
        <v>271</v>
      </c>
    </row>
    <row r="88" spans="1:12" ht="19.5" customHeight="1">
      <c r="A88" s="6" t="s">
        <v>179</v>
      </c>
      <c r="B88" s="6" t="s">
        <v>261</v>
      </c>
      <c r="C88" s="6" t="s">
        <v>23</v>
      </c>
      <c r="D88" s="6" t="s">
        <v>509</v>
      </c>
      <c r="E88" s="6" t="s">
        <v>388</v>
      </c>
      <c r="F88" s="6" t="s">
        <v>376</v>
      </c>
      <c r="G88" s="6" t="s">
        <v>198</v>
      </c>
      <c r="H88" s="6" t="s">
        <v>377</v>
      </c>
      <c r="I88" s="22">
        <f t="shared" si="1"/>
        <v>0.1</v>
      </c>
      <c r="J88" s="23">
        <v>0.1</v>
      </c>
      <c r="K88" s="6" t="s">
        <v>378</v>
      </c>
      <c r="L88" s="6" t="s">
        <v>271</v>
      </c>
    </row>
    <row r="89" spans="1:12" ht="19.5" customHeight="1">
      <c r="A89" s="6" t="s">
        <v>179</v>
      </c>
      <c r="B89" s="6" t="s">
        <v>261</v>
      </c>
      <c r="C89" s="6" t="s">
        <v>23</v>
      </c>
      <c r="D89" s="6" t="s">
        <v>510</v>
      </c>
      <c r="E89" s="6" t="s">
        <v>389</v>
      </c>
      <c r="F89" s="6" t="s">
        <v>376</v>
      </c>
      <c r="G89" s="6" t="s">
        <v>198</v>
      </c>
      <c r="H89" s="6" t="s">
        <v>377</v>
      </c>
      <c r="I89" s="22">
        <f t="shared" si="1"/>
        <v>0.1</v>
      </c>
      <c r="J89" s="23">
        <v>0.1</v>
      </c>
      <c r="K89" s="6" t="s">
        <v>378</v>
      </c>
      <c r="L89" s="6" t="s">
        <v>271</v>
      </c>
    </row>
    <row r="90" spans="1:12" ht="19.5" customHeight="1">
      <c r="A90" s="6" t="s">
        <v>179</v>
      </c>
      <c r="B90" s="6" t="s">
        <v>261</v>
      </c>
      <c r="C90" s="6" t="s">
        <v>23</v>
      </c>
      <c r="D90" s="6" t="s">
        <v>511</v>
      </c>
      <c r="E90" s="6" t="s">
        <v>390</v>
      </c>
      <c r="F90" s="6" t="s">
        <v>376</v>
      </c>
      <c r="G90" s="6" t="s">
        <v>198</v>
      </c>
      <c r="H90" s="6" t="s">
        <v>377</v>
      </c>
      <c r="I90" s="22">
        <f t="shared" si="1"/>
        <v>0.1</v>
      </c>
      <c r="J90" s="23">
        <v>0.1</v>
      </c>
      <c r="K90" s="6" t="s">
        <v>378</v>
      </c>
      <c r="L90" s="6" t="s">
        <v>271</v>
      </c>
    </row>
    <row r="91" spans="1:12" ht="19.5" customHeight="1">
      <c r="A91" s="6" t="s">
        <v>179</v>
      </c>
      <c r="B91" s="6" t="s">
        <v>261</v>
      </c>
      <c r="C91" s="6" t="s">
        <v>23</v>
      </c>
      <c r="D91" s="6" t="s">
        <v>512</v>
      </c>
      <c r="E91" s="6" t="s">
        <v>391</v>
      </c>
      <c r="F91" s="6" t="s">
        <v>376</v>
      </c>
      <c r="G91" s="6" t="s">
        <v>198</v>
      </c>
      <c r="H91" s="6" t="s">
        <v>377</v>
      </c>
      <c r="I91" s="22">
        <f t="shared" si="1"/>
        <v>0.1</v>
      </c>
      <c r="J91" s="23">
        <v>0.1</v>
      </c>
      <c r="K91" s="6" t="s">
        <v>378</v>
      </c>
      <c r="L91" s="6" t="s">
        <v>271</v>
      </c>
    </row>
    <row r="92" spans="1:12" ht="19.5" customHeight="1">
      <c r="A92" s="6" t="s">
        <v>179</v>
      </c>
      <c r="B92" s="6" t="s">
        <v>261</v>
      </c>
      <c r="C92" s="6" t="s">
        <v>23</v>
      </c>
      <c r="D92" s="6" t="s">
        <v>513</v>
      </c>
      <c r="E92" s="6" t="s">
        <v>392</v>
      </c>
      <c r="F92" s="6" t="s">
        <v>376</v>
      </c>
      <c r="G92" s="6" t="s">
        <v>198</v>
      </c>
      <c r="H92" s="6" t="s">
        <v>377</v>
      </c>
      <c r="I92" s="22">
        <f t="shared" si="1"/>
        <v>0.1</v>
      </c>
      <c r="J92" s="23">
        <v>0.1</v>
      </c>
      <c r="K92" s="6" t="s">
        <v>378</v>
      </c>
      <c r="L92" s="6" t="s">
        <v>271</v>
      </c>
    </row>
    <row r="93" spans="1:12" ht="19.5" customHeight="1">
      <c r="A93" s="6" t="s">
        <v>179</v>
      </c>
      <c r="B93" s="6" t="s">
        <v>261</v>
      </c>
      <c r="C93" s="6" t="s">
        <v>23</v>
      </c>
      <c r="D93" s="6" t="s">
        <v>514</v>
      </c>
      <c r="E93" s="6" t="s">
        <v>393</v>
      </c>
      <c r="F93" s="6" t="s">
        <v>376</v>
      </c>
      <c r="G93" s="6" t="s">
        <v>198</v>
      </c>
      <c r="H93" s="6" t="s">
        <v>377</v>
      </c>
      <c r="I93" s="22">
        <f t="shared" si="1"/>
        <v>0.1</v>
      </c>
      <c r="J93" s="23">
        <v>0.1</v>
      </c>
      <c r="K93" s="6" t="s">
        <v>378</v>
      </c>
      <c r="L93" s="6" t="s">
        <v>271</v>
      </c>
    </row>
    <row r="94" spans="1:12" ht="19.5" customHeight="1">
      <c r="A94" s="6" t="s">
        <v>179</v>
      </c>
      <c r="B94" s="6" t="s">
        <v>261</v>
      </c>
      <c r="C94" s="6" t="s">
        <v>23</v>
      </c>
      <c r="D94" s="6" t="s">
        <v>515</v>
      </c>
      <c r="E94" s="6" t="s">
        <v>394</v>
      </c>
      <c r="F94" s="6" t="s">
        <v>376</v>
      </c>
      <c r="G94" s="6" t="s">
        <v>198</v>
      </c>
      <c r="H94" s="6" t="s">
        <v>377</v>
      </c>
      <c r="I94" s="22">
        <f t="shared" si="1"/>
        <v>0.1</v>
      </c>
      <c r="J94" s="23">
        <v>0.1</v>
      </c>
      <c r="K94" s="6" t="s">
        <v>378</v>
      </c>
      <c r="L94" s="6" t="s">
        <v>271</v>
      </c>
    </row>
    <row r="95" spans="1:12" ht="19.5" customHeight="1">
      <c r="A95" s="6" t="s">
        <v>179</v>
      </c>
      <c r="B95" s="6" t="s">
        <v>261</v>
      </c>
      <c r="C95" s="6" t="s">
        <v>23</v>
      </c>
      <c r="D95" s="6" t="s">
        <v>516</v>
      </c>
      <c r="E95" s="6" t="s">
        <v>395</v>
      </c>
      <c r="F95" s="6" t="s">
        <v>376</v>
      </c>
      <c r="G95" s="6" t="s">
        <v>198</v>
      </c>
      <c r="H95" s="6" t="s">
        <v>377</v>
      </c>
      <c r="I95" s="22">
        <f t="shared" si="1"/>
        <v>0.1</v>
      </c>
      <c r="J95" s="23">
        <v>0.1</v>
      </c>
      <c r="K95" s="6" t="s">
        <v>378</v>
      </c>
      <c r="L95" s="6" t="s">
        <v>271</v>
      </c>
    </row>
    <row r="96" spans="1:12" ht="19.5" customHeight="1">
      <c r="A96" s="6" t="s">
        <v>272</v>
      </c>
      <c r="B96" s="6" t="s">
        <v>274</v>
      </c>
      <c r="C96" s="6" t="s">
        <v>23</v>
      </c>
      <c r="D96" s="6" t="s">
        <v>517</v>
      </c>
      <c r="E96" s="6" t="s">
        <v>396</v>
      </c>
      <c r="F96" s="6" t="s">
        <v>397</v>
      </c>
      <c r="G96" s="6" t="s">
        <v>329</v>
      </c>
      <c r="H96" s="6" t="s">
        <v>398</v>
      </c>
      <c r="I96" s="22">
        <f t="shared" ref="I96:I106" si="2">(100000/1000000*0.2)+(100000*0.2*0.5*0.0000166667)</f>
        <v>0.18666700000000003</v>
      </c>
      <c r="J96" s="23" t="s">
        <v>276</v>
      </c>
      <c r="K96" s="6" t="s">
        <v>399</v>
      </c>
      <c r="L96" s="6" t="s">
        <v>281</v>
      </c>
    </row>
    <row r="97" spans="1:12" ht="19.5" customHeight="1">
      <c r="A97" s="6" t="s">
        <v>272</v>
      </c>
      <c r="B97" s="6" t="s">
        <v>274</v>
      </c>
      <c r="C97" s="6" t="s">
        <v>23</v>
      </c>
      <c r="D97" s="6" t="s">
        <v>518</v>
      </c>
      <c r="E97" s="6" t="s">
        <v>400</v>
      </c>
      <c r="F97" s="6" t="s">
        <v>397</v>
      </c>
      <c r="G97" s="6" t="s">
        <v>329</v>
      </c>
      <c r="H97" s="6" t="s">
        <v>398</v>
      </c>
      <c r="I97" s="22">
        <f t="shared" si="2"/>
        <v>0.18666700000000003</v>
      </c>
      <c r="J97" s="23" t="s">
        <v>276</v>
      </c>
      <c r="K97" s="6" t="s">
        <v>399</v>
      </c>
      <c r="L97" s="6" t="s">
        <v>281</v>
      </c>
    </row>
    <row r="98" spans="1:12" ht="19.5" customHeight="1">
      <c r="A98" s="6" t="s">
        <v>272</v>
      </c>
      <c r="B98" s="6" t="s">
        <v>274</v>
      </c>
      <c r="C98" s="6" t="s">
        <v>23</v>
      </c>
      <c r="D98" s="6" t="s">
        <v>519</v>
      </c>
      <c r="E98" s="6" t="s">
        <v>401</v>
      </c>
      <c r="F98" s="6" t="s">
        <v>397</v>
      </c>
      <c r="G98" s="6" t="s">
        <v>329</v>
      </c>
      <c r="H98" s="6" t="s">
        <v>398</v>
      </c>
      <c r="I98" s="22">
        <f t="shared" si="2"/>
        <v>0.18666700000000003</v>
      </c>
      <c r="J98" s="23" t="s">
        <v>276</v>
      </c>
      <c r="K98" s="6" t="s">
        <v>399</v>
      </c>
      <c r="L98" s="6" t="s">
        <v>281</v>
      </c>
    </row>
    <row r="99" spans="1:12" ht="19.5" customHeight="1">
      <c r="A99" s="6" t="s">
        <v>272</v>
      </c>
      <c r="B99" s="6" t="s">
        <v>274</v>
      </c>
      <c r="C99" s="6" t="s">
        <v>23</v>
      </c>
      <c r="D99" s="6" t="s">
        <v>520</v>
      </c>
      <c r="E99" s="6" t="s">
        <v>402</v>
      </c>
      <c r="F99" s="6" t="s">
        <v>397</v>
      </c>
      <c r="G99" s="6" t="s">
        <v>329</v>
      </c>
      <c r="H99" s="6" t="s">
        <v>398</v>
      </c>
      <c r="I99" s="22">
        <f t="shared" si="2"/>
        <v>0.18666700000000003</v>
      </c>
      <c r="J99" s="23" t="s">
        <v>276</v>
      </c>
      <c r="K99" s="6" t="s">
        <v>399</v>
      </c>
      <c r="L99" s="6" t="s">
        <v>281</v>
      </c>
    </row>
    <row r="100" spans="1:12" ht="19.5" customHeight="1">
      <c r="A100" s="6" t="s">
        <v>272</v>
      </c>
      <c r="B100" s="6" t="s">
        <v>274</v>
      </c>
      <c r="C100" s="6" t="s">
        <v>23</v>
      </c>
      <c r="D100" s="6" t="s">
        <v>521</v>
      </c>
      <c r="E100" s="6" t="s">
        <v>403</v>
      </c>
      <c r="F100" s="6" t="s">
        <v>397</v>
      </c>
      <c r="G100" s="6" t="s">
        <v>329</v>
      </c>
      <c r="H100" s="6" t="s">
        <v>398</v>
      </c>
      <c r="I100" s="22">
        <f t="shared" si="2"/>
        <v>0.18666700000000003</v>
      </c>
      <c r="J100" s="23" t="s">
        <v>276</v>
      </c>
      <c r="K100" s="6" t="s">
        <v>399</v>
      </c>
      <c r="L100" s="6" t="s">
        <v>281</v>
      </c>
    </row>
    <row r="101" spans="1:12" ht="19.5" customHeight="1">
      <c r="A101" s="6" t="s">
        <v>272</v>
      </c>
      <c r="B101" s="6" t="s">
        <v>274</v>
      </c>
      <c r="C101" s="6" t="s">
        <v>23</v>
      </c>
      <c r="D101" s="6" t="s">
        <v>522</v>
      </c>
      <c r="E101" s="6" t="s">
        <v>404</v>
      </c>
      <c r="F101" s="6" t="s">
        <v>397</v>
      </c>
      <c r="G101" s="6" t="s">
        <v>329</v>
      </c>
      <c r="H101" s="6" t="s">
        <v>398</v>
      </c>
      <c r="I101" s="22">
        <f t="shared" si="2"/>
        <v>0.18666700000000003</v>
      </c>
      <c r="J101" s="23" t="s">
        <v>276</v>
      </c>
      <c r="K101" s="6" t="s">
        <v>399</v>
      </c>
      <c r="L101" s="6" t="s">
        <v>281</v>
      </c>
    </row>
    <row r="102" spans="1:12" ht="19.5" customHeight="1">
      <c r="A102" s="6" t="s">
        <v>272</v>
      </c>
      <c r="B102" s="6" t="s">
        <v>274</v>
      </c>
      <c r="C102" s="6" t="s">
        <v>23</v>
      </c>
      <c r="D102" s="6" t="s">
        <v>523</v>
      </c>
      <c r="E102" s="6" t="s">
        <v>405</v>
      </c>
      <c r="F102" s="6" t="s">
        <v>397</v>
      </c>
      <c r="G102" s="6" t="s">
        <v>329</v>
      </c>
      <c r="H102" s="6" t="s">
        <v>398</v>
      </c>
      <c r="I102" s="22">
        <f t="shared" si="2"/>
        <v>0.18666700000000003</v>
      </c>
      <c r="J102" s="23" t="s">
        <v>276</v>
      </c>
      <c r="K102" s="6" t="s">
        <v>399</v>
      </c>
      <c r="L102" s="6" t="s">
        <v>281</v>
      </c>
    </row>
    <row r="103" spans="1:12" ht="19.5" customHeight="1">
      <c r="A103" s="6" t="s">
        <v>272</v>
      </c>
      <c r="B103" s="6" t="s">
        <v>274</v>
      </c>
      <c r="C103" s="6" t="s">
        <v>23</v>
      </c>
      <c r="D103" s="6" t="s">
        <v>524</v>
      </c>
      <c r="E103" s="6" t="s">
        <v>406</v>
      </c>
      <c r="F103" s="6" t="s">
        <v>397</v>
      </c>
      <c r="G103" s="6" t="s">
        <v>329</v>
      </c>
      <c r="H103" s="6" t="s">
        <v>398</v>
      </c>
      <c r="I103" s="22">
        <f t="shared" si="2"/>
        <v>0.18666700000000003</v>
      </c>
      <c r="J103" s="23" t="s">
        <v>276</v>
      </c>
      <c r="K103" s="6" t="s">
        <v>399</v>
      </c>
      <c r="L103" s="6" t="s">
        <v>281</v>
      </c>
    </row>
    <row r="104" spans="1:12" ht="19.5" customHeight="1">
      <c r="A104" s="6" t="s">
        <v>272</v>
      </c>
      <c r="B104" s="6" t="s">
        <v>274</v>
      </c>
      <c r="C104" s="6" t="s">
        <v>23</v>
      </c>
      <c r="D104" s="6" t="s">
        <v>525</v>
      </c>
      <c r="E104" s="6" t="s">
        <v>407</v>
      </c>
      <c r="F104" s="6" t="s">
        <v>397</v>
      </c>
      <c r="G104" s="6" t="s">
        <v>329</v>
      </c>
      <c r="H104" s="6" t="s">
        <v>398</v>
      </c>
      <c r="I104" s="22">
        <f t="shared" si="2"/>
        <v>0.18666700000000003</v>
      </c>
      <c r="J104" s="23" t="s">
        <v>276</v>
      </c>
      <c r="K104" s="6" t="s">
        <v>399</v>
      </c>
      <c r="L104" s="6" t="s">
        <v>281</v>
      </c>
    </row>
    <row r="105" spans="1:12" ht="19.5" customHeight="1">
      <c r="A105" s="6" t="s">
        <v>272</v>
      </c>
      <c r="B105" s="6" t="s">
        <v>274</v>
      </c>
      <c r="C105" s="6" t="s">
        <v>23</v>
      </c>
      <c r="D105" s="6" t="s">
        <v>526</v>
      </c>
      <c r="E105" s="6" t="s">
        <v>408</v>
      </c>
      <c r="F105" s="6" t="s">
        <v>397</v>
      </c>
      <c r="G105" s="6" t="s">
        <v>329</v>
      </c>
      <c r="H105" s="6" t="s">
        <v>398</v>
      </c>
      <c r="I105" s="22">
        <f t="shared" si="2"/>
        <v>0.18666700000000003</v>
      </c>
      <c r="J105" s="23" t="s">
        <v>276</v>
      </c>
      <c r="K105" s="6" t="s">
        <v>399</v>
      </c>
      <c r="L105" s="6" t="s">
        <v>281</v>
      </c>
    </row>
    <row r="106" spans="1:12" ht="19.5" customHeight="1">
      <c r="A106" s="6" t="s">
        <v>272</v>
      </c>
      <c r="B106" s="6" t="s">
        <v>274</v>
      </c>
      <c r="C106" s="6" t="s">
        <v>23</v>
      </c>
      <c r="D106" s="6" t="s">
        <v>527</v>
      </c>
      <c r="E106" s="6" t="s">
        <v>409</v>
      </c>
      <c r="F106" s="6" t="s">
        <v>397</v>
      </c>
      <c r="G106" s="6" t="s">
        <v>329</v>
      </c>
      <c r="H106" s="6" t="s">
        <v>398</v>
      </c>
      <c r="I106" s="22">
        <f t="shared" si="2"/>
        <v>0.18666700000000003</v>
      </c>
      <c r="J106" s="23" t="s">
        <v>276</v>
      </c>
      <c r="K106" s="6" t="s">
        <v>399</v>
      </c>
      <c r="L106" s="6" t="s">
        <v>281</v>
      </c>
    </row>
    <row r="107" spans="1:12" ht="19.5" customHeight="1">
      <c r="A107" s="6" t="s">
        <v>191</v>
      </c>
      <c r="B107" s="6" t="s">
        <v>192</v>
      </c>
      <c r="C107" s="6" t="s">
        <v>23</v>
      </c>
      <c r="D107" s="6" t="s">
        <v>528</v>
      </c>
      <c r="E107" s="6" t="s">
        <v>410</v>
      </c>
      <c r="F107" s="6" t="s">
        <v>411</v>
      </c>
      <c r="G107" s="6" t="s">
        <v>198</v>
      </c>
      <c r="H107" s="6" t="s">
        <v>412</v>
      </c>
      <c r="I107" s="8">
        <v>0.4</v>
      </c>
      <c r="J107" s="8">
        <v>0.4</v>
      </c>
      <c r="K107" s="6" t="s">
        <v>413</v>
      </c>
      <c r="L107" s="6" t="s">
        <v>37</v>
      </c>
    </row>
    <row r="108" spans="1:12" ht="19.5" customHeight="1">
      <c r="A108" s="6" t="s">
        <v>191</v>
      </c>
      <c r="B108" s="6" t="s">
        <v>192</v>
      </c>
      <c r="C108" s="6" t="s">
        <v>23</v>
      </c>
      <c r="D108" s="6" t="s">
        <v>529</v>
      </c>
      <c r="E108" s="6" t="s">
        <v>414</v>
      </c>
      <c r="F108" s="6" t="s">
        <v>411</v>
      </c>
      <c r="G108" s="6" t="s">
        <v>198</v>
      </c>
      <c r="H108" s="6" t="s">
        <v>412</v>
      </c>
      <c r="I108" s="8">
        <v>0.4</v>
      </c>
      <c r="J108" s="8">
        <v>0.4</v>
      </c>
      <c r="K108" s="6" t="s">
        <v>413</v>
      </c>
      <c r="L108" s="6" t="s">
        <v>37</v>
      </c>
    </row>
    <row r="109" spans="1:12" ht="19.5" customHeight="1">
      <c r="A109" s="6" t="s">
        <v>191</v>
      </c>
      <c r="B109" s="6" t="s">
        <v>192</v>
      </c>
      <c r="C109" s="6" t="s">
        <v>23</v>
      </c>
      <c r="D109" s="6" t="s">
        <v>530</v>
      </c>
      <c r="E109" s="6" t="s">
        <v>415</v>
      </c>
      <c r="F109" s="6" t="s">
        <v>411</v>
      </c>
      <c r="G109" s="6" t="s">
        <v>198</v>
      </c>
      <c r="H109" s="6" t="s">
        <v>412</v>
      </c>
      <c r="I109" s="8">
        <v>0.4</v>
      </c>
      <c r="J109" s="8">
        <v>0.4</v>
      </c>
      <c r="K109" s="6" t="s">
        <v>413</v>
      </c>
      <c r="L109" s="6" t="s">
        <v>37</v>
      </c>
    </row>
    <row r="110" spans="1:12" ht="19.5" customHeight="1">
      <c r="A110" s="6" t="s">
        <v>191</v>
      </c>
      <c r="B110" s="6" t="s">
        <v>192</v>
      </c>
      <c r="C110" s="6" t="s">
        <v>23</v>
      </c>
      <c r="D110" s="6" t="s">
        <v>531</v>
      </c>
      <c r="E110" s="6" t="s">
        <v>416</v>
      </c>
      <c r="F110" s="6" t="s">
        <v>411</v>
      </c>
      <c r="G110" s="6" t="s">
        <v>198</v>
      </c>
      <c r="H110" s="6" t="s">
        <v>412</v>
      </c>
      <c r="I110" s="8">
        <v>0.4</v>
      </c>
      <c r="J110" s="8">
        <v>0.4</v>
      </c>
      <c r="K110" s="6" t="s">
        <v>413</v>
      </c>
      <c r="L110" s="6" t="s">
        <v>37</v>
      </c>
    </row>
    <row r="111" spans="1:12" ht="19.5" customHeight="1">
      <c r="A111" s="6" t="s">
        <v>191</v>
      </c>
      <c r="B111" s="6" t="s">
        <v>192</v>
      </c>
      <c r="C111" s="6" t="s">
        <v>23</v>
      </c>
      <c r="D111" s="6" t="s">
        <v>532</v>
      </c>
      <c r="E111" s="6" t="s">
        <v>417</v>
      </c>
      <c r="F111" s="6" t="s">
        <v>411</v>
      </c>
      <c r="G111" s="6" t="s">
        <v>198</v>
      </c>
      <c r="H111" s="6" t="s">
        <v>412</v>
      </c>
      <c r="I111" s="8">
        <v>0.4</v>
      </c>
      <c r="J111" s="8">
        <v>0.4</v>
      </c>
      <c r="K111" s="6" t="s">
        <v>413</v>
      </c>
      <c r="L111" s="6" t="s">
        <v>37</v>
      </c>
    </row>
    <row r="112" spans="1:12" ht="19.5" customHeight="1">
      <c r="A112" s="6" t="s">
        <v>191</v>
      </c>
      <c r="B112" s="6" t="s">
        <v>192</v>
      </c>
      <c r="C112" s="6" t="s">
        <v>23</v>
      </c>
      <c r="D112" s="6" t="s">
        <v>533</v>
      </c>
      <c r="E112" s="6" t="s">
        <v>418</v>
      </c>
      <c r="F112" s="6" t="s">
        <v>411</v>
      </c>
      <c r="G112" s="6" t="s">
        <v>198</v>
      </c>
      <c r="H112" s="6" t="s">
        <v>412</v>
      </c>
      <c r="I112" s="8">
        <v>0.4</v>
      </c>
      <c r="J112" s="8">
        <v>0.4</v>
      </c>
      <c r="K112" s="6" t="s">
        <v>413</v>
      </c>
      <c r="L112" s="6" t="s">
        <v>37</v>
      </c>
    </row>
    <row r="113" spans="1:12" ht="19.5" customHeight="1">
      <c r="A113" s="6" t="s">
        <v>191</v>
      </c>
      <c r="B113" s="6" t="s">
        <v>192</v>
      </c>
      <c r="C113" s="6" t="s">
        <v>23</v>
      </c>
      <c r="D113" s="6" t="s">
        <v>534</v>
      </c>
      <c r="E113" s="6" t="s">
        <v>419</v>
      </c>
      <c r="F113" s="6" t="s">
        <v>411</v>
      </c>
      <c r="G113" s="6" t="s">
        <v>198</v>
      </c>
      <c r="H113" s="6" t="s">
        <v>412</v>
      </c>
      <c r="I113" s="8">
        <v>0.4</v>
      </c>
      <c r="J113" s="8">
        <v>0.4</v>
      </c>
      <c r="K113" s="6" t="s">
        <v>413</v>
      </c>
      <c r="L113" s="6" t="s">
        <v>37</v>
      </c>
    </row>
    <row r="114" spans="1:12" ht="19.5" customHeight="1">
      <c r="A114" s="6" t="s">
        <v>191</v>
      </c>
      <c r="B114" s="6" t="s">
        <v>192</v>
      </c>
      <c r="C114" s="6" t="s">
        <v>23</v>
      </c>
      <c r="D114" s="6" t="s">
        <v>535</v>
      </c>
      <c r="E114" s="6" t="s">
        <v>420</v>
      </c>
      <c r="F114" s="6" t="s">
        <v>411</v>
      </c>
      <c r="G114" s="6" t="s">
        <v>198</v>
      </c>
      <c r="H114" s="6" t="s">
        <v>412</v>
      </c>
      <c r="I114" s="8">
        <v>0.4</v>
      </c>
      <c r="J114" s="8">
        <v>0.4</v>
      </c>
      <c r="K114" s="6" t="s">
        <v>413</v>
      </c>
      <c r="L114" s="6" t="s">
        <v>37</v>
      </c>
    </row>
    <row r="115" spans="1:12" ht="19.5" customHeight="1">
      <c r="A115" s="6" t="s">
        <v>191</v>
      </c>
      <c r="B115" s="6" t="s">
        <v>192</v>
      </c>
      <c r="C115" s="6" t="s">
        <v>23</v>
      </c>
      <c r="D115" s="6" t="s">
        <v>536</v>
      </c>
      <c r="E115" s="6" t="s">
        <v>421</v>
      </c>
      <c r="F115" s="6" t="s">
        <v>411</v>
      </c>
      <c r="G115" s="6" t="s">
        <v>198</v>
      </c>
      <c r="H115" s="6" t="s">
        <v>412</v>
      </c>
      <c r="I115" s="8">
        <v>0.4</v>
      </c>
      <c r="J115" s="8">
        <v>0.4</v>
      </c>
      <c r="K115" s="6" t="s">
        <v>413</v>
      </c>
      <c r="L115" s="6" t="s">
        <v>37</v>
      </c>
    </row>
    <row r="116" spans="1:12" ht="19.5" customHeight="1">
      <c r="A116" s="6" t="s">
        <v>191</v>
      </c>
      <c r="B116" s="6" t="s">
        <v>192</v>
      </c>
      <c r="C116" s="6" t="s">
        <v>23</v>
      </c>
      <c r="D116" s="6" t="s">
        <v>537</v>
      </c>
      <c r="E116" s="6" t="s">
        <v>422</v>
      </c>
      <c r="F116" s="6" t="s">
        <v>411</v>
      </c>
      <c r="G116" s="6" t="s">
        <v>198</v>
      </c>
      <c r="H116" s="6" t="s">
        <v>412</v>
      </c>
      <c r="I116" s="8">
        <v>0.4</v>
      </c>
      <c r="J116" s="8">
        <v>0.4</v>
      </c>
      <c r="K116" s="6" t="s">
        <v>413</v>
      </c>
      <c r="L116" s="6" t="s">
        <v>37</v>
      </c>
    </row>
    <row r="117" spans="1:12" ht="19.5" customHeight="1">
      <c r="A117" s="6" t="s">
        <v>191</v>
      </c>
      <c r="B117" s="6" t="s">
        <v>192</v>
      </c>
      <c r="C117" s="6" t="s">
        <v>23</v>
      </c>
      <c r="D117" s="6" t="s">
        <v>538</v>
      </c>
      <c r="E117" s="6" t="s">
        <v>423</v>
      </c>
      <c r="F117" s="6" t="s">
        <v>411</v>
      </c>
      <c r="G117" s="6" t="s">
        <v>198</v>
      </c>
      <c r="H117" s="6" t="s">
        <v>412</v>
      </c>
      <c r="I117" s="8">
        <v>0.4</v>
      </c>
      <c r="J117" s="8">
        <v>0.4</v>
      </c>
      <c r="K117" s="6" t="s">
        <v>413</v>
      </c>
      <c r="L117" s="6" t="s">
        <v>37</v>
      </c>
    </row>
    <row r="118" spans="1:12" ht="19.5" customHeight="1">
      <c r="A118" s="6" t="s">
        <v>284</v>
      </c>
      <c r="B118" s="6" t="s">
        <v>286</v>
      </c>
      <c r="C118" s="6" t="s">
        <v>23</v>
      </c>
      <c r="D118" s="6" t="s">
        <v>539</v>
      </c>
      <c r="E118" s="6" t="s">
        <v>424</v>
      </c>
      <c r="F118" s="6" t="s">
        <v>425</v>
      </c>
      <c r="G118" s="6" t="s">
        <v>198</v>
      </c>
      <c r="H118" s="6" t="s">
        <v>426</v>
      </c>
      <c r="I118" s="22">
        <f t="shared" ref="I118:I128" si="3">J118*(100000/1000000)</f>
        <v>4.0000000000000008E-2</v>
      </c>
      <c r="J118" s="23">
        <v>0.4</v>
      </c>
      <c r="K118" s="6" t="s">
        <v>427</v>
      </c>
      <c r="L118" s="6" t="s">
        <v>294</v>
      </c>
    </row>
    <row r="119" spans="1:12" ht="19.5" customHeight="1">
      <c r="A119" s="6" t="s">
        <v>284</v>
      </c>
      <c r="B119" s="6" t="s">
        <v>286</v>
      </c>
      <c r="C119" s="6" t="s">
        <v>23</v>
      </c>
      <c r="D119" s="6" t="s">
        <v>540</v>
      </c>
      <c r="E119" s="6" t="s">
        <v>428</v>
      </c>
      <c r="F119" s="6" t="s">
        <v>425</v>
      </c>
      <c r="G119" s="6" t="s">
        <v>198</v>
      </c>
      <c r="H119" s="6" t="s">
        <v>426</v>
      </c>
      <c r="I119" s="22">
        <f t="shared" si="3"/>
        <v>4.0000000000000008E-2</v>
      </c>
      <c r="J119" s="23">
        <v>0.4</v>
      </c>
      <c r="K119" s="6" t="s">
        <v>427</v>
      </c>
      <c r="L119" s="6" t="s">
        <v>294</v>
      </c>
    </row>
    <row r="120" spans="1:12" ht="19.5" customHeight="1">
      <c r="A120" s="6" t="s">
        <v>284</v>
      </c>
      <c r="B120" s="6" t="s">
        <v>286</v>
      </c>
      <c r="C120" s="6" t="s">
        <v>23</v>
      </c>
      <c r="D120" s="6" t="s">
        <v>541</v>
      </c>
      <c r="E120" s="6" t="s">
        <v>429</v>
      </c>
      <c r="F120" s="6" t="s">
        <v>425</v>
      </c>
      <c r="G120" s="6" t="s">
        <v>198</v>
      </c>
      <c r="H120" s="6" t="s">
        <v>426</v>
      </c>
      <c r="I120" s="22">
        <f t="shared" si="3"/>
        <v>4.0000000000000008E-2</v>
      </c>
      <c r="J120" s="23">
        <v>0.4</v>
      </c>
      <c r="K120" s="6" t="s">
        <v>427</v>
      </c>
      <c r="L120" s="6" t="s">
        <v>294</v>
      </c>
    </row>
    <row r="121" spans="1:12" ht="19.5" customHeight="1">
      <c r="A121" s="6" t="s">
        <v>284</v>
      </c>
      <c r="B121" s="6" t="s">
        <v>286</v>
      </c>
      <c r="C121" s="6" t="s">
        <v>23</v>
      </c>
      <c r="D121" s="6" t="s">
        <v>542</v>
      </c>
      <c r="E121" s="6" t="s">
        <v>430</v>
      </c>
      <c r="F121" s="6" t="s">
        <v>425</v>
      </c>
      <c r="G121" s="6" t="s">
        <v>198</v>
      </c>
      <c r="H121" s="6" t="s">
        <v>426</v>
      </c>
      <c r="I121" s="22">
        <f t="shared" si="3"/>
        <v>4.0000000000000008E-2</v>
      </c>
      <c r="J121" s="23">
        <v>0.4</v>
      </c>
      <c r="K121" s="6" t="s">
        <v>427</v>
      </c>
      <c r="L121" s="6" t="s">
        <v>294</v>
      </c>
    </row>
    <row r="122" spans="1:12" ht="19.5" customHeight="1">
      <c r="A122" s="6" t="s">
        <v>284</v>
      </c>
      <c r="B122" s="6" t="s">
        <v>286</v>
      </c>
      <c r="C122" s="6" t="s">
        <v>23</v>
      </c>
      <c r="D122" s="6" t="s">
        <v>543</v>
      </c>
      <c r="E122" s="6" t="s">
        <v>431</v>
      </c>
      <c r="F122" s="6" t="s">
        <v>425</v>
      </c>
      <c r="G122" s="6" t="s">
        <v>198</v>
      </c>
      <c r="H122" s="6" t="s">
        <v>426</v>
      </c>
      <c r="I122" s="22">
        <f t="shared" si="3"/>
        <v>4.0000000000000008E-2</v>
      </c>
      <c r="J122" s="23">
        <v>0.4</v>
      </c>
      <c r="K122" s="6" t="s">
        <v>427</v>
      </c>
      <c r="L122" s="6" t="s">
        <v>294</v>
      </c>
    </row>
    <row r="123" spans="1:12" ht="19.5" customHeight="1">
      <c r="A123" s="6" t="s">
        <v>284</v>
      </c>
      <c r="B123" s="6" t="s">
        <v>286</v>
      </c>
      <c r="C123" s="6" t="s">
        <v>23</v>
      </c>
      <c r="D123" s="6" t="s">
        <v>544</v>
      </c>
      <c r="E123" s="6" t="s">
        <v>432</v>
      </c>
      <c r="F123" s="6" t="s">
        <v>425</v>
      </c>
      <c r="G123" s="6" t="s">
        <v>198</v>
      </c>
      <c r="H123" s="6" t="s">
        <v>426</v>
      </c>
      <c r="I123" s="22">
        <f t="shared" si="3"/>
        <v>4.0000000000000008E-2</v>
      </c>
      <c r="J123" s="23">
        <v>0.4</v>
      </c>
      <c r="K123" s="6" t="s">
        <v>427</v>
      </c>
      <c r="L123" s="6" t="s">
        <v>294</v>
      </c>
    </row>
    <row r="124" spans="1:12" ht="19.5" customHeight="1">
      <c r="A124" s="6" t="s">
        <v>284</v>
      </c>
      <c r="B124" s="6" t="s">
        <v>286</v>
      </c>
      <c r="C124" s="6" t="s">
        <v>23</v>
      </c>
      <c r="D124" s="6" t="s">
        <v>545</v>
      </c>
      <c r="E124" s="6" t="s">
        <v>433</v>
      </c>
      <c r="F124" s="6" t="s">
        <v>425</v>
      </c>
      <c r="G124" s="6" t="s">
        <v>198</v>
      </c>
      <c r="H124" s="6" t="s">
        <v>426</v>
      </c>
      <c r="I124" s="22">
        <f t="shared" si="3"/>
        <v>4.0000000000000008E-2</v>
      </c>
      <c r="J124" s="23">
        <v>0.4</v>
      </c>
      <c r="K124" s="6" t="s">
        <v>427</v>
      </c>
      <c r="L124" s="6" t="s">
        <v>294</v>
      </c>
    </row>
    <row r="125" spans="1:12" ht="19.5" customHeight="1">
      <c r="A125" s="6" t="s">
        <v>284</v>
      </c>
      <c r="B125" s="6" t="s">
        <v>286</v>
      </c>
      <c r="C125" s="6" t="s">
        <v>23</v>
      </c>
      <c r="D125" s="6" t="s">
        <v>546</v>
      </c>
      <c r="E125" s="6" t="s">
        <v>434</v>
      </c>
      <c r="F125" s="6" t="s">
        <v>425</v>
      </c>
      <c r="G125" s="6" t="s">
        <v>198</v>
      </c>
      <c r="H125" s="6" t="s">
        <v>426</v>
      </c>
      <c r="I125" s="22">
        <f t="shared" si="3"/>
        <v>4.0000000000000008E-2</v>
      </c>
      <c r="J125" s="23">
        <v>0.4</v>
      </c>
      <c r="K125" s="6" t="s">
        <v>427</v>
      </c>
      <c r="L125" s="6" t="s">
        <v>294</v>
      </c>
    </row>
    <row r="126" spans="1:12" ht="19.5" customHeight="1">
      <c r="A126" s="6" t="s">
        <v>284</v>
      </c>
      <c r="B126" s="6" t="s">
        <v>286</v>
      </c>
      <c r="C126" s="6" t="s">
        <v>23</v>
      </c>
      <c r="D126" s="6" t="s">
        <v>547</v>
      </c>
      <c r="E126" s="6" t="s">
        <v>435</v>
      </c>
      <c r="F126" s="6" t="s">
        <v>425</v>
      </c>
      <c r="G126" s="6" t="s">
        <v>198</v>
      </c>
      <c r="H126" s="6" t="s">
        <v>426</v>
      </c>
      <c r="I126" s="22">
        <f t="shared" si="3"/>
        <v>4.0000000000000008E-2</v>
      </c>
      <c r="J126" s="23">
        <v>0.4</v>
      </c>
      <c r="K126" s="6" t="s">
        <v>427</v>
      </c>
      <c r="L126" s="6" t="s">
        <v>294</v>
      </c>
    </row>
    <row r="127" spans="1:12" ht="19.5" customHeight="1">
      <c r="A127" s="6" t="s">
        <v>284</v>
      </c>
      <c r="B127" s="6" t="s">
        <v>286</v>
      </c>
      <c r="C127" s="6" t="s">
        <v>23</v>
      </c>
      <c r="D127" s="6" t="s">
        <v>548</v>
      </c>
      <c r="E127" s="6" t="s">
        <v>436</v>
      </c>
      <c r="F127" s="6" t="s">
        <v>425</v>
      </c>
      <c r="G127" s="6" t="s">
        <v>198</v>
      </c>
      <c r="H127" s="6" t="s">
        <v>426</v>
      </c>
      <c r="I127" s="22">
        <f t="shared" si="3"/>
        <v>4.0000000000000008E-2</v>
      </c>
      <c r="J127" s="23">
        <v>0.4</v>
      </c>
      <c r="K127" s="6" t="s">
        <v>427</v>
      </c>
      <c r="L127" s="6" t="s">
        <v>294</v>
      </c>
    </row>
    <row r="128" spans="1:12" ht="19.5" customHeight="1">
      <c r="A128" s="6" t="s">
        <v>284</v>
      </c>
      <c r="B128" s="6" t="s">
        <v>286</v>
      </c>
      <c r="C128" s="6" t="s">
        <v>23</v>
      </c>
      <c r="D128" s="6" t="s">
        <v>549</v>
      </c>
      <c r="E128" s="6" t="s">
        <v>437</v>
      </c>
      <c r="F128" s="6" t="s">
        <v>425</v>
      </c>
      <c r="G128" s="6" t="s">
        <v>198</v>
      </c>
      <c r="H128" s="6" t="s">
        <v>426</v>
      </c>
      <c r="I128" s="22">
        <f t="shared" si="3"/>
        <v>4.0000000000000008E-2</v>
      </c>
      <c r="J128" s="23">
        <v>0.4</v>
      </c>
      <c r="K128" s="6" t="s">
        <v>427</v>
      </c>
      <c r="L128" s="6" t="s">
        <v>294</v>
      </c>
    </row>
    <row r="129" spans="1:12" ht="19.5" customHeight="1">
      <c r="A129" s="6" t="s">
        <v>17</v>
      </c>
      <c r="B129" s="6" t="s">
        <v>20</v>
      </c>
      <c r="C129" s="6" t="s">
        <v>438</v>
      </c>
      <c r="D129" s="6" t="s">
        <v>439</v>
      </c>
      <c r="E129" s="6" t="s">
        <v>440</v>
      </c>
      <c r="F129" s="6" t="s">
        <v>441</v>
      </c>
      <c r="G129" s="6" t="s">
        <v>442</v>
      </c>
      <c r="H129" s="6" t="s">
        <v>32</v>
      </c>
      <c r="I129" s="8">
        <v>0</v>
      </c>
      <c r="J129" s="8">
        <v>0</v>
      </c>
      <c r="K129" s="6" t="s">
        <v>36</v>
      </c>
      <c r="L129" s="6" t="s">
        <v>37</v>
      </c>
    </row>
    <row r="130" spans="1:12" ht="19.5" customHeight="1">
      <c r="A130" s="6" t="s">
        <v>51</v>
      </c>
      <c r="B130" s="6" t="s">
        <v>52</v>
      </c>
      <c r="C130" s="6" t="s">
        <v>438</v>
      </c>
      <c r="D130" s="6" t="s">
        <v>443</v>
      </c>
      <c r="E130" s="6" t="s">
        <v>443</v>
      </c>
      <c r="F130" s="6" t="s">
        <v>56</v>
      </c>
      <c r="G130" s="6" t="s">
        <v>57</v>
      </c>
      <c r="H130" s="6" t="s">
        <v>96</v>
      </c>
      <c r="I130" s="8">
        <v>0.8</v>
      </c>
      <c r="J130" s="8">
        <v>0.08</v>
      </c>
      <c r="K130" s="6" t="s">
        <v>62</v>
      </c>
      <c r="L130" s="6" t="s">
        <v>37</v>
      </c>
    </row>
    <row r="131" spans="1:12" ht="19.5" customHeight="1">
      <c r="A131" s="6" t="s">
        <v>125</v>
      </c>
      <c r="B131" s="6" t="s">
        <v>213</v>
      </c>
      <c r="C131" s="6" t="s">
        <v>438</v>
      </c>
      <c r="D131" s="6" t="s">
        <v>444</v>
      </c>
      <c r="E131" s="6" t="s">
        <v>444</v>
      </c>
      <c r="F131" s="6" t="s">
        <v>213</v>
      </c>
      <c r="G131" s="6" t="s">
        <v>105</v>
      </c>
      <c r="H131" s="6" t="s">
        <v>255</v>
      </c>
      <c r="I131" s="8">
        <v>0</v>
      </c>
      <c r="J131" s="8">
        <v>0</v>
      </c>
      <c r="K131" s="6" t="s">
        <v>251</v>
      </c>
      <c r="L131" s="6" t="s">
        <v>37</v>
      </c>
    </row>
    <row r="132" spans="1:12" ht="19.5" customHeight="1">
      <c r="A132" s="6" t="s">
        <v>125</v>
      </c>
      <c r="B132" s="6" t="s">
        <v>219</v>
      </c>
      <c r="C132" s="6" t="s">
        <v>438</v>
      </c>
      <c r="D132" s="6" t="s">
        <v>445</v>
      </c>
      <c r="E132" s="6" t="s">
        <v>445</v>
      </c>
      <c r="F132" s="6" t="s">
        <v>219</v>
      </c>
      <c r="G132" s="6" t="s">
        <v>105</v>
      </c>
      <c r="H132" s="6" t="s">
        <v>446</v>
      </c>
      <c r="I132" s="8">
        <v>0</v>
      </c>
      <c r="J132" s="8">
        <v>0</v>
      </c>
      <c r="K132" s="6" t="s">
        <v>266</v>
      </c>
      <c r="L132" s="6" t="s">
        <v>37</v>
      </c>
    </row>
    <row r="133" spans="1:12" ht="19.5" customHeight="1">
      <c r="A133" s="6" t="s">
        <v>125</v>
      </c>
      <c r="B133" s="6" t="s">
        <v>219</v>
      </c>
      <c r="C133" s="6" t="s">
        <v>438</v>
      </c>
      <c r="D133" s="6" t="s">
        <v>447</v>
      </c>
      <c r="E133" s="6" t="s">
        <v>447</v>
      </c>
      <c r="F133" s="6" t="s">
        <v>219</v>
      </c>
      <c r="G133" s="6" t="s">
        <v>105</v>
      </c>
      <c r="H133" s="6" t="s">
        <v>306</v>
      </c>
      <c r="I133" s="8">
        <v>0</v>
      </c>
      <c r="J133" s="8">
        <v>0</v>
      </c>
      <c r="K133" s="6" t="s">
        <v>266</v>
      </c>
      <c r="L133" s="6" t="s">
        <v>37</v>
      </c>
    </row>
    <row r="134" spans="1:12" ht="19.5" customHeight="1">
      <c r="A134" s="6" t="s">
        <v>125</v>
      </c>
      <c r="B134" s="6" t="s">
        <v>219</v>
      </c>
      <c r="C134" s="6" t="s">
        <v>438</v>
      </c>
      <c r="D134" s="6" t="s">
        <v>448</v>
      </c>
      <c r="E134" s="6" t="s">
        <v>448</v>
      </c>
      <c r="F134" s="6" t="s">
        <v>219</v>
      </c>
      <c r="G134" s="6" t="s">
        <v>105</v>
      </c>
      <c r="H134" s="6" t="s">
        <v>295</v>
      </c>
      <c r="I134" s="8">
        <v>0</v>
      </c>
      <c r="J134" s="8">
        <v>0</v>
      </c>
      <c r="K134" s="6" t="s">
        <v>266</v>
      </c>
      <c r="L134" s="6" t="s">
        <v>37</v>
      </c>
    </row>
    <row r="135" spans="1:12" ht="19.5" customHeight="1">
      <c r="A135" s="6" t="s">
        <v>125</v>
      </c>
      <c r="B135" s="6" t="s">
        <v>219</v>
      </c>
      <c r="C135" s="6" t="s">
        <v>438</v>
      </c>
      <c r="D135" s="6" t="s">
        <v>449</v>
      </c>
      <c r="E135" s="6" t="s">
        <v>449</v>
      </c>
      <c r="F135" s="6" t="s">
        <v>219</v>
      </c>
      <c r="G135" s="6" t="s">
        <v>105</v>
      </c>
      <c r="H135" s="6" t="s">
        <v>325</v>
      </c>
      <c r="I135" s="8">
        <v>0</v>
      </c>
      <c r="J135" s="8">
        <v>0</v>
      </c>
      <c r="K135" s="6" t="s">
        <v>266</v>
      </c>
      <c r="L135" s="6" t="s">
        <v>37</v>
      </c>
    </row>
    <row r="136" spans="1:12" ht="19.5" customHeight="1">
      <c r="A136" s="6" t="s">
        <v>125</v>
      </c>
      <c r="B136" s="6" t="s">
        <v>219</v>
      </c>
      <c r="C136" s="6" t="s">
        <v>438</v>
      </c>
      <c r="D136" s="6" t="s">
        <v>450</v>
      </c>
      <c r="E136" s="6" t="s">
        <v>450</v>
      </c>
      <c r="F136" s="6" t="s">
        <v>219</v>
      </c>
      <c r="G136" s="6" t="s">
        <v>105</v>
      </c>
      <c r="H136" s="6" t="s">
        <v>313</v>
      </c>
      <c r="I136" s="8">
        <v>0</v>
      </c>
      <c r="J136" s="8">
        <v>0</v>
      </c>
      <c r="K136" s="6" t="s">
        <v>266</v>
      </c>
      <c r="L136" s="6" t="s">
        <v>37</v>
      </c>
    </row>
    <row r="137" spans="1:12" ht="19.5" customHeight="1">
      <c r="A137" s="6" t="s">
        <v>125</v>
      </c>
      <c r="B137" s="6" t="s">
        <v>219</v>
      </c>
      <c r="C137" s="6" t="s">
        <v>438</v>
      </c>
      <c r="D137" s="6" t="s">
        <v>451</v>
      </c>
      <c r="E137" s="6" t="s">
        <v>451</v>
      </c>
      <c r="F137" s="6" t="s">
        <v>219</v>
      </c>
      <c r="G137" s="6" t="s">
        <v>105</v>
      </c>
      <c r="H137" s="6" t="s">
        <v>452</v>
      </c>
      <c r="I137" s="8">
        <v>0</v>
      </c>
      <c r="J137" s="8">
        <v>0</v>
      </c>
      <c r="K137" s="6" t="s">
        <v>266</v>
      </c>
      <c r="L137" s="6" t="s">
        <v>37</v>
      </c>
    </row>
    <row r="138" spans="1:12" ht="19.5" customHeight="1">
      <c r="A138" s="6" t="s">
        <v>125</v>
      </c>
      <c r="B138" s="6" t="s">
        <v>229</v>
      </c>
      <c r="C138" s="6" t="s">
        <v>438</v>
      </c>
      <c r="D138" s="6" t="s">
        <v>453</v>
      </c>
      <c r="E138" s="6" t="s">
        <v>453</v>
      </c>
      <c r="F138" s="6" t="s">
        <v>229</v>
      </c>
      <c r="G138" s="6" t="s">
        <v>328</v>
      </c>
      <c r="H138" s="6" t="s">
        <v>329</v>
      </c>
      <c r="I138" s="8">
        <v>0</v>
      </c>
      <c r="J138" s="8">
        <v>0</v>
      </c>
      <c r="K138" s="6" t="s">
        <v>330</v>
      </c>
      <c r="L138" s="6" t="s">
        <v>37</v>
      </c>
    </row>
    <row r="139" spans="1:12" ht="19.5" customHeight="1">
      <c r="A139" s="6" t="s">
        <v>125</v>
      </c>
      <c r="B139" s="6" t="s">
        <v>235</v>
      </c>
      <c r="C139" s="6" t="s">
        <v>438</v>
      </c>
      <c r="D139" s="6" t="s">
        <v>454</v>
      </c>
      <c r="E139" s="6" t="s">
        <v>454</v>
      </c>
      <c r="F139" s="6" t="s">
        <v>235</v>
      </c>
      <c r="G139" s="6" t="s">
        <v>198</v>
      </c>
      <c r="H139" s="6" t="s">
        <v>337</v>
      </c>
      <c r="I139" s="8">
        <v>0</v>
      </c>
      <c r="J139" s="8">
        <v>0</v>
      </c>
      <c r="K139" s="6" t="s">
        <v>338</v>
      </c>
      <c r="L139" s="6" t="s">
        <v>37</v>
      </c>
    </row>
    <row r="140" spans="1:12" ht="19.5" customHeight="1">
      <c r="A140" s="6" t="s">
        <v>125</v>
      </c>
      <c r="B140" s="6" t="s">
        <v>242</v>
      </c>
      <c r="C140" s="6" t="s">
        <v>438</v>
      </c>
      <c r="D140" s="6" t="s">
        <v>455</v>
      </c>
      <c r="E140" s="6" t="s">
        <v>456</v>
      </c>
      <c r="F140" s="6" t="s">
        <v>242</v>
      </c>
      <c r="G140" s="6" t="s">
        <v>198</v>
      </c>
      <c r="H140" s="6" t="s">
        <v>444</v>
      </c>
      <c r="I140" s="8">
        <v>0</v>
      </c>
      <c r="J140" s="8">
        <v>0</v>
      </c>
      <c r="K140" s="6" t="s">
        <v>352</v>
      </c>
      <c r="L140" s="6" t="s">
        <v>37</v>
      </c>
    </row>
    <row r="141" spans="1:12" ht="19.5" customHeight="1">
      <c r="A141" s="6" t="s">
        <v>125</v>
      </c>
      <c r="B141" s="6" t="s">
        <v>242</v>
      </c>
      <c r="C141" s="6" t="s">
        <v>438</v>
      </c>
      <c r="D141" s="6" t="s">
        <v>457</v>
      </c>
      <c r="E141" s="6" t="s">
        <v>351</v>
      </c>
      <c r="F141" s="6" t="s">
        <v>242</v>
      </c>
      <c r="G141" s="6" t="s">
        <v>198</v>
      </c>
      <c r="H141" s="6" t="s">
        <v>444</v>
      </c>
      <c r="I141" s="8">
        <v>0</v>
      </c>
      <c r="J141" s="8">
        <v>0</v>
      </c>
      <c r="K141" s="6" t="s">
        <v>352</v>
      </c>
      <c r="L141" s="6" t="s">
        <v>37</v>
      </c>
    </row>
    <row r="142" spans="1:12" ht="19.5" customHeight="1">
      <c r="A142" s="6" t="s">
        <v>125</v>
      </c>
      <c r="B142" s="6" t="s">
        <v>252</v>
      </c>
      <c r="C142" s="6" t="s">
        <v>438</v>
      </c>
      <c r="D142" s="6" t="s">
        <v>458</v>
      </c>
      <c r="E142" s="6" t="s">
        <v>458</v>
      </c>
      <c r="F142" s="6" t="s">
        <v>252</v>
      </c>
      <c r="G142" s="6" t="s">
        <v>198</v>
      </c>
      <c r="H142" s="6" t="s">
        <v>444</v>
      </c>
      <c r="I142" s="8">
        <v>0</v>
      </c>
      <c r="J142" s="8">
        <v>0</v>
      </c>
      <c r="K142" s="6" t="s">
        <v>372</v>
      </c>
      <c r="L142" s="6" t="s">
        <v>37</v>
      </c>
    </row>
    <row r="143" spans="1:12" ht="19.5" customHeight="1">
      <c r="A143" s="6" t="s">
        <v>179</v>
      </c>
      <c r="B143" s="6" t="s">
        <v>181</v>
      </c>
      <c r="C143" s="6" t="s">
        <v>23</v>
      </c>
      <c r="D143" s="6" t="s">
        <v>459</v>
      </c>
      <c r="E143" s="6" t="s">
        <v>459</v>
      </c>
      <c r="F143" s="6" t="s">
        <v>460</v>
      </c>
      <c r="G143" s="6" t="s">
        <v>198</v>
      </c>
      <c r="H143" s="6" t="s">
        <v>461</v>
      </c>
      <c r="I143" s="8">
        <v>74.400000000000006</v>
      </c>
      <c r="J143" s="8">
        <v>0.1</v>
      </c>
      <c r="K143" s="6" t="s">
        <v>462</v>
      </c>
      <c r="L143" s="6" t="s">
        <v>37</v>
      </c>
    </row>
    <row r="144" spans="1:12" ht="19.5" customHeight="1">
      <c r="A144" s="6" t="s">
        <v>51</v>
      </c>
      <c r="B144" s="6" t="s">
        <v>296</v>
      </c>
      <c r="C144" s="6" t="s">
        <v>463</v>
      </c>
      <c r="D144" s="6" t="s">
        <v>464</v>
      </c>
      <c r="E144" s="6" t="s">
        <v>464</v>
      </c>
      <c r="F144" s="6" t="s">
        <v>465</v>
      </c>
      <c r="G144" s="6" t="s">
        <v>198</v>
      </c>
      <c r="H144" s="6" t="s">
        <v>466</v>
      </c>
      <c r="I144" s="22">
        <f t="shared" ref="I144:I160" si="4">J144*1</f>
        <v>2.5000000000000001E-2</v>
      </c>
      <c r="J144" s="23">
        <v>2.5000000000000001E-2</v>
      </c>
      <c r="K144" s="6" t="s">
        <v>467</v>
      </c>
      <c r="L144" s="6" t="s">
        <v>304</v>
      </c>
    </row>
    <row r="145" spans="1:12" ht="19.5" customHeight="1">
      <c r="A145" s="6" t="s">
        <v>51</v>
      </c>
      <c r="B145" s="6" t="s">
        <v>296</v>
      </c>
      <c r="C145" s="6" t="s">
        <v>463</v>
      </c>
      <c r="D145" s="6" t="s">
        <v>550</v>
      </c>
      <c r="E145" s="6" t="s">
        <v>550</v>
      </c>
      <c r="F145" s="6" t="s">
        <v>465</v>
      </c>
      <c r="G145" s="6" t="s">
        <v>198</v>
      </c>
      <c r="H145" s="6" t="s">
        <v>466</v>
      </c>
      <c r="I145" s="22">
        <f t="shared" si="4"/>
        <v>2.5000000000000001E-2</v>
      </c>
      <c r="J145" s="23">
        <v>2.5000000000000001E-2</v>
      </c>
      <c r="K145" s="6" t="s">
        <v>467</v>
      </c>
      <c r="L145" s="6" t="s">
        <v>304</v>
      </c>
    </row>
    <row r="146" spans="1:12" ht="19.5" customHeight="1">
      <c r="A146" s="6" t="s">
        <v>51</v>
      </c>
      <c r="B146" s="6" t="s">
        <v>296</v>
      </c>
      <c r="C146" s="6" t="s">
        <v>463</v>
      </c>
      <c r="D146" s="6" t="s">
        <v>551</v>
      </c>
      <c r="E146" s="6" t="s">
        <v>551</v>
      </c>
      <c r="F146" s="6" t="s">
        <v>465</v>
      </c>
      <c r="G146" s="6" t="s">
        <v>198</v>
      </c>
      <c r="H146" s="6" t="s">
        <v>466</v>
      </c>
      <c r="I146" s="22">
        <f t="shared" si="4"/>
        <v>2.5000000000000001E-2</v>
      </c>
      <c r="J146" s="23">
        <v>2.5000000000000001E-2</v>
      </c>
      <c r="K146" s="6" t="s">
        <v>467</v>
      </c>
      <c r="L146" s="6" t="s">
        <v>304</v>
      </c>
    </row>
    <row r="147" spans="1:12" ht="19.5" customHeight="1">
      <c r="A147" s="6" t="s">
        <v>51</v>
      </c>
      <c r="B147" s="6" t="s">
        <v>296</v>
      </c>
      <c r="C147" s="6" t="s">
        <v>463</v>
      </c>
      <c r="D147" s="6" t="s">
        <v>468</v>
      </c>
      <c r="E147" s="6" t="s">
        <v>468</v>
      </c>
      <c r="F147" s="6" t="s">
        <v>465</v>
      </c>
      <c r="G147" s="6" t="s">
        <v>198</v>
      </c>
      <c r="H147" s="6" t="s">
        <v>466</v>
      </c>
      <c r="I147" s="22">
        <f t="shared" si="4"/>
        <v>2.5000000000000001E-2</v>
      </c>
      <c r="J147" s="23">
        <v>2.5000000000000001E-2</v>
      </c>
      <c r="K147" s="6" t="s">
        <v>467</v>
      </c>
      <c r="L147" s="6" t="s">
        <v>304</v>
      </c>
    </row>
    <row r="148" spans="1:12" ht="19.5" customHeight="1">
      <c r="A148" s="6" t="s">
        <v>51</v>
      </c>
      <c r="B148" s="6" t="s">
        <v>296</v>
      </c>
      <c r="C148" s="6" t="s">
        <v>463</v>
      </c>
      <c r="D148" s="6" t="s">
        <v>469</v>
      </c>
      <c r="E148" s="6" t="s">
        <v>469</v>
      </c>
      <c r="F148" s="6" t="s">
        <v>465</v>
      </c>
      <c r="G148" s="6" t="s">
        <v>198</v>
      </c>
      <c r="H148" s="6" t="s">
        <v>466</v>
      </c>
      <c r="I148" s="22">
        <f t="shared" si="4"/>
        <v>2.5000000000000001E-2</v>
      </c>
      <c r="J148" s="23">
        <v>2.5000000000000001E-2</v>
      </c>
      <c r="K148" s="6" t="s">
        <v>467</v>
      </c>
      <c r="L148" s="6" t="s">
        <v>304</v>
      </c>
    </row>
    <row r="149" spans="1:12" ht="19.5" customHeight="1">
      <c r="A149" s="6" t="s">
        <v>51</v>
      </c>
      <c r="B149" s="6" t="s">
        <v>296</v>
      </c>
      <c r="C149" s="6" t="s">
        <v>463</v>
      </c>
      <c r="D149" s="6" t="s">
        <v>470</v>
      </c>
      <c r="E149" s="6" t="s">
        <v>470</v>
      </c>
      <c r="F149" s="6" t="s">
        <v>465</v>
      </c>
      <c r="G149" s="6" t="s">
        <v>198</v>
      </c>
      <c r="H149" s="6" t="s">
        <v>466</v>
      </c>
      <c r="I149" s="22">
        <f t="shared" si="4"/>
        <v>2.5000000000000001E-2</v>
      </c>
      <c r="J149" s="23">
        <v>2.5000000000000001E-2</v>
      </c>
      <c r="K149" s="6" t="s">
        <v>467</v>
      </c>
      <c r="L149" s="6" t="s">
        <v>304</v>
      </c>
    </row>
    <row r="150" spans="1:12" ht="19.5" customHeight="1">
      <c r="A150" s="6" t="s">
        <v>51</v>
      </c>
      <c r="B150" s="6" t="s">
        <v>296</v>
      </c>
      <c r="C150" s="6" t="s">
        <v>463</v>
      </c>
      <c r="D150" s="6" t="s">
        <v>471</v>
      </c>
      <c r="E150" s="6" t="s">
        <v>471</v>
      </c>
      <c r="F150" s="6" t="s">
        <v>465</v>
      </c>
      <c r="G150" s="6" t="s">
        <v>198</v>
      </c>
      <c r="H150" s="6" t="s">
        <v>466</v>
      </c>
      <c r="I150" s="22">
        <f t="shared" si="4"/>
        <v>2.5000000000000001E-2</v>
      </c>
      <c r="J150" s="23">
        <v>2.5000000000000001E-2</v>
      </c>
      <c r="K150" s="6" t="s">
        <v>467</v>
      </c>
      <c r="L150" s="6" t="s">
        <v>304</v>
      </c>
    </row>
    <row r="151" spans="1:12" ht="19.5" customHeight="1">
      <c r="A151" s="6" t="s">
        <v>51</v>
      </c>
      <c r="B151" s="6" t="s">
        <v>296</v>
      </c>
      <c r="C151" s="6" t="s">
        <v>463</v>
      </c>
      <c r="D151" s="6" t="s">
        <v>472</v>
      </c>
      <c r="E151" s="6" t="s">
        <v>472</v>
      </c>
      <c r="F151" s="6" t="s">
        <v>465</v>
      </c>
      <c r="G151" s="6" t="s">
        <v>198</v>
      </c>
      <c r="H151" s="6" t="s">
        <v>466</v>
      </c>
      <c r="I151" s="22">
        <f t="shared" si="4"/>
        <v>2.5000000000000001E-2</v>
      </c>
      <c r="J151" s="23">
        <v>2.5000000000000001E-2</v>
      </c>
      <c r="K151" s="6" t="s">
        <v>467</v>
      </c>
      <c r="L151" s="6" t="s">
        <v>304</v>
      </c>
    </row>
    <row r="152" spans="1:12" ht="19.5" customHeight="1">
      <c r="A152" s="6" t="s">
        <v>51</v>
      </c>
      <c r="B152" s="6" t="s">
        <v>296</v>
      </c>
      <c r="C152" s="6" t="s">
        <v>463</v>
      </c>
      <c r="D152" s="6" t="s">
        <v>473</v>
      </c>
      <c r="E152" s="6" t="s">
        <v>473</v>
      </c>
      <c r="F152" s="6" t="s">
        <v>465</v>
      </c>
      <c r="G152" s="6" t="s">
        <v>198</v>
      </c>
      <c r="H152" s="6" t="s">
        <v>466</v>
      </c>
      <c r="I152" s="22">
        <f t="shared" si="4"/>
        <v>2.5000000000000001E-2</v>
      </c>
      <c r="J152" s="23">
        <v>2.5000000000000001E-2</v>
      </c>
      <c r="K152" s="6" t="s">
        <v>467</v>
      </c>
      <c r="L152" s="6" t="s">
        <v>304</v>
      </c>
    </row>
    <row r="153" spans="1:12" ht="19.5" customHeight="1">
      <c r="A153" s="6" t="s">
        <v>51</v>
      </c>
      <c r="B153" s="6" t="s">
        <v>296</v>
      </c>
      <c r="C153" s="6" t="s">
        <v>463</v>
      </c>
      <c r="D153" s="6" t="s">
        <v>474</v>
      </c>
      <c r="E153" s="6" t="s">
        <v>474</v>
      </c>
      <c r="F153" s="6" t="s">
        <v>465</v>
      </c>
      <c r="G153" s="6" t="s">
        <v>198</v>
      </c>
      <c r="H153" s="6" t="s">
        <v>466</v>
      </c>
      <c r="I153" s="22">
        <f t="shared" si="4"/>
        <v>2.5000000000000001E-2</v>
      </c>
      <c r="J153" s="23">
        <v>2.5000000000000001E-2</v>
      </c>
      <c r="K153" s="6" t="s">
        <v>467</v>
      </c>
      <c r="L153" s="6" t="s">
        <v>304</v>
      </c>
    </row>
    <row r="154" spans="1:12" ht="19.5" customHeight="1">
      <c r="A154" s="6" t="s">
        <v>51</v>
      </c>
      <c r="B154" s="6" t="s">
        <v>296</v>
      </c>
      <c r="C154" s="6" t="s">
        <v>463</v>
      </c>
      <c r="D154" s="6" t="s">
        <v>475</v>
      </c>
      <c r="E154" s="6" t="s">
        <v>475</v>
      </c>
      <c r="F154" s="6" t="s">
        <v>465</v>
      </c>
      <c r="G154" s="6" t="s">
        <v>198</v>
      </c>
      <c r="H154" s="6" t="s">
        <v>466</v>
      </c>
      <c r="I154" s="22">
        <f t="shared" si="4"/>
        <v>2.5000000000000001E-2</v>
      </c>
      <c r="J154" s="23">
        <v>2.5000000000000001E-2</v>
      </c>
      <c r="K154" s="6" t="s">
        <v>467</v>
      </c>
      <c r="L154" s="6" t="s">
        <v>304</v>
      </c>
    </row>
    <row r="155" spans="1:12" ht="19.5" customHeight="1">
      <c r="A155" s="6" t="s">
        <v>51</v>
      </c>
      <c r="B155" s="6" t="s">
        <v>296</v>
      </c>
      <c r="C155" s="6" t="s">
        <v>463</v>
      </c>
      <c r="D155" s="6" t="s">
        <v>476</v>
      </c>
      <c r="E155" s="6" t="s">
        <v>476</v>
      </c>
      <c r="F155" s="6" t="s">
        <v>465</v>
      </c>
      <c r="G155" s="6" t="s">
        <v>198</v>
      </c>
      <c r="H155" s="6" t="s">
        <v>466</v>
      </c>
      <c r="I155" s="22">
        <f t="shared" si="4"/>
        <v>2.5000000000000001E-2</v>
      </c>
      <c r="J155" s="23">
        <v>2.5000000000000001E-2</v>
      </c>
      <c r="K155" s="6" t="s">
        <v>467</v>
      </c>
      <c r="L155" s="6" t="s">
        <v>304</v>
      </c>
    </row>
    <row r="156" spans="1:12" ht="19.5" customHeight="1">
      <c r="A156" s="6" t="s">
        <v>51</v>
      </c>
      <c r="B156" s="6" t="s">
        <v>296</v>
      </c>
      <c r="C156" s="6" t="s">
        <v>463</v>
      </c>
      <c r="D156" s="6" t="s">
        <v>477</v>
      </c>
      <c r="E156" s="6" t="s">
        <v>477</v>
      </c>
      <c r="F156" s="6" t="s">
        <v>465</v>
      </c>
      <c r="G156" s="6" t="s">
        <v>198</v>
      </c>
      <c r="H156" s="6" t="s">
        <v>466</v>
      </c>
      <c r="I156" s="22">
        <f t="shared" si="4"/>
        <v>2.5000000000000001E-2</v>
      </c>
      <c r="J156" s="23">
        <v>2.5000000000000001E-2</v>
      </c>
      <c r="K156" s="6" t="s">
        <v>467</v>
      </c>
      <c r="L156" s="6" t="s">
        <v>304</v>
      </c>
    </row>
    <row r="157" spans="1:12" ht="19.5" customHeight="1">
      <c r="A157" s="6" t="s">
        <v>51</v>
      </c>
      <c r="B157" s="6" t="s">
        <v>296</v>
      </c>
      <c r="C157" s="6" t="s">
        <v>463</v>
      </c>
      <c r="D157" s="6" t="s">
        <v>478</v>
      </c>
      <c r="E157" s="6" t="s">
        <v>478</v>
      </c>
      <c r="F157" s="6" t="s">
        <v>465</v>
      </c>
      <c r="G157" s="6" t="s">
        <v>198</v>
      </c>
      <c r="H157" s="6" t="s">
        <v>466</v>
      </c>
      <c r="I157" s="22">
        <f t="shared" si="4"/>
        <v>2.5000000000000001E-2</v>
      </c>
      <c r="J157" s="23">
        <v>2.5000000000000001E-2</v>
      </c>
      <c r="K157" s="6" t="s">
        <v>467</v>
      </c>
      <c r="L157" s="6" t="s">
        <v>304</v>
      </c>
    </row>
    <row r="158" spans="1:12" ht="19.5" customHeight="1">
      <c r="A158" s="6" t="s">
        <v>51</v>
      </c>
      <c r="B158" s="6" t="s">
        <v>296</v>
      </c>
      <c r="C158" s="6" t="s">
        <v>463</v>
      </c>
      <c r="D158" s="6" t="s">
        <v>479</v>
      </c>
      <c r="E158" s="6" t="s">
        <v>479</v>
      </c>
      <c r="F158" s="6" t="s">
        <v>465</v>
      </c>
      <c r="G158" s="6" t="s">
        <v>198</v>
      </c>
      <c r="H158" s="6" t="s">
        <v>466</v>
      </c>
      <c r="I158" s="22">
        <f t="shared" si="4"/>
        <v>2.5000000000000001E-2</v>
      </c>
      <c r="J158" s="23">
        <v>2.5000000000000001E-2</v>
      </c>
      <c r="K158" s="6" t="s">
        <v>467</v>
      </c>
      <c r="L158" s="6" t="s">
        <v>304</v>
      </c>
    </row>
    <row r="159" spans="1:12" ht="19.5" customHeight="1">
      <c r="A159" s="6" t="s">
        <v>51</v>
      </c>
      <c r="B159" s="6" t="s">
        <v>296</v>
      </c>
      <c r="C159" s="6" t="s">
        <v>463</v>
      </c>
      <c r="D159" s="6" t="s">
        <v>480</v>
      </c>
      <c r="E159" s="6" t="s">
        <v>480</v>
      </c>
      <c r="F159" s="6" t="s">
        <v>465</v>
      </c>
      <c r="G159" s="6" t="s">
        <v>198</v>
      </c>
      <c r="H159" s="6" t="s">
        <v>466</v>
      </c>
      <c r="I159" s="22">
        <f t="shared" si="4"/>
        <v>2.5000000000000001E-2</v>
      </c>
      <c r="J159" s="23">
        <v>2.5000000000000001E-2</v>
      </c>
      <c r="K159" s="6" t="s">
        <v>467</v>
      </c>
      <c r="L159" s="6" t="s">
        <v>304</v>
      </c>
    </row>
    <row r="160" spans="1:12" ht="19.5" customHeight="1">
      <c r="A160" s="6" t="s">
        <v>51</v>
      </c>
      <c r="B160" s="6" t="s">
        <v>296</v>
      </c>
      <c r="C160" s="6" t="s">
        <v>463</v>
      </c>
      <c r="D160" s="6" t="s">
        <v>481</v>
      </c>
      <c r="E160" s="6" t="s">
        <v>481</v>
      </c>
      <c r="F160" s="6" t="s">
        <v>465</v>
      </c>
      <c r="G160" s="6" t="s">
        <v>198</v>
      </c>
      <c r="H160" s="6" t="s">
        <v>466</v>
      </c>
      <c r="I160" s="22">
        <f t="shared" si="4"/>
        <v>2.5000000000000001E-2</v>
      </c>
      <c r="J160" s="23">
        <v>2.5000000000000001E-2</v>
      </c>
      <c r="K160" s="6" t="s">
        <v>467</v>
      </c>
      <c r="L160" s="6" t="s">
        <v>304</v>
      </c>
    </row>
    <row r="161" spans="1:12" ht="19.5" customHeight="1">
      <c r="A161" s="6" t="s">
        <v>125</v>
      </c>
      <c r="B161" s="6" t="s">
        <v>206</v>
      </c>
      <c r="C161" s="6" t="s">
        <v>463</v>
      </c>
      <c r="D161" s="6" t="s">
        <v>482</v>
      </c>
      <c r="E161" s="6" t="s">
        <v>481</v>
      </c>
      <c r="F161" s="6" t="s">
        <v>483</v>
      </c>
      <c r="G161" s="6" t="s">
        <v>198</v>
      </c>
      <c r="H161" s="6" t="s">
        <v>484</v>
      </c>
      <c r="I161" s="8">
        <v>0.5</v>
      </c>
      <c r="J161" s="8">
        <v>0.5</v>
      </c>
      <c r="K161" s="6" t="s">
        <v>485</v>
      </c>
      <c r="L161" s="6" t="s">
        <v>37</v>
      </c>
    </row>
    <row r="162" spans="1:12" ht="42" customHeight="1">
      <c r="A162" s="6" t="s">
        <v>75</v>
      </c>
      <c r="B162" s="6" t="s">
        <v>307</v>
      </c>
      <c r="C162" s="6" t="s">
        <v>23</v>
      </c>
      <c r="D162" s="6" t="s">
        <v>486</v>
      </c>
      <c r="E162" s="6" t="s">
        <v>487</v>
      </c>
      <c r="F162" s="6" t="s">
        <v>488</v>
      </c>
      <c r="G162" s="6" t="s">
        <v>198</v>
      </c>
      <c r="H162" s="6" t="s">
        <v>489</v>
      </c>
      <c r="I162" s="22">
        <f>4.173597/6*31</f>
        <v>21.563584500000001</v>
      </c>
      <c r="J162" s="23" t="s">
        <v>309</v>
      </c>
      <c r="K162" s="6" t="s">
        <v>490</v>
      </c>
      <c r="L162" s="6" t="s">
        <v>491</v>
      </c>
    </row>
    <row r="163" spans="1:12" ht="42" customHeight="1">
      <c r="A163" s="6" t="s">
        <v>317</v>
      </c>
      <c r="B163" s="6" t="s">
        <v>318</v>
      </c>
      <c r="C163" s="6" t="s">
        <v>23</v>
      </c>
      <c r="D163" s="6" t="s">
        <v>492</v>
      </c>
      <c r="E163" s="6" t="s">
        <v>493</v>
      </c>
      <c r="F163" s="6" t="s">
        <v>494</v>
      </c>
      <c r="G163" s="6" t="s">
        <v>198</v>
      </c>
      <c r="H163" s="6" t="s">
        <v>495</v>
      </c>
      <c r="I163" s="22">
        <f>0.016776/6*31</f>
        <v>8.6676000000000003E-2</v>
      </c>
      <c r="J163" s="23" t="s">
        <v>496</v>
      </c>
      <c r="K163" s="6" t="s">
        <v>497</v>
      </c>
      <c r="L163" s="6" t="s">
        <v>491</v>
      </c>
    </row>
    <row r="164" spans="1:12" ht="19.5" customHeight="1">
      <c r="A164" s="6"/>
      <c r="B164" s="6"/>
      <c r="C164" s="6"/>
      <c r="D164" s="6"/>
      <c r="E164" s="6"/>
      <c r="F164" s="6"/>
      <c r="G164" s="6"/>
      <c r="H164" s="6"/>
      <c r="I164" s="24"/>
      <c r="J164" s="24"/>
      <c r="K164" s="6"/>
      <c r="L164" s="6"/>
    </row>
    <row r="165" spans="1:12" ht="19.5" customHeight="1">
      <c r="A165" s="6"/>
      <c r="B165" s="6"/>
      <c r="C165" s="6"/>
      <c r="D165" s="6"/>
      <c r="E165" s="6"/>
      <c r="F165" s="6"/>
      <c r="G165" s="6"/>
      <c r="H165" s="6"/>
      <c r="I165" s="25"/>
      <c r="J165" s="25"/>
      <c r="K165" s="6"/>
      <c r="L165" s="6"/>
    </row>
    <row r="166" spans="1:12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1:1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1:12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1:12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1:12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1:12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1:12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1:12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1:1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spans="1:12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spans="1:12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spans="1:12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spans="1:12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spans="1:12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spans="1:12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spans="1:12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spans="1:12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phoneticPr fontId="6" type="noConversion"/>
  <pageMargins left="0.69999998807907104" right="0.69999998807907104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/>
  </sheetViews>
  <sheetFormatPr defaultColWidth="14.42578125" defaultRowHeight="15" customHeight="1"/>
  <cols>
    <col min="1" max="1" width="10.42578125" customWidth="1"/>
    <col min="2" max="2" width="15.7109375" customWidth="1"/>
    <col min="3" max="3" width="22.85546875" customWidth="1"/>
    <col min="4" max="4" width="21" customWidth="1"/>
    <col min="5" max="5" width="17.140625" customWidth="1"/>
    <col min="6" max="6" width="18.140625" customWidth="1"/>
    <col min="7" max="7" width="21" customWidth="1"/>
    <col min="8" max="8" width="26.140625" customWidth="1"/>
    <col min="9" max="9" width="57" customWidth="1"/>
    <col min="10" max="26" width="10.42578125" customWidth="1"/>
  </cols>
  <sheetData>
    <row r="1" spans="1:11" ht="12.75" customHeight="1">
      <c r="A1" s="28" t="s">
        <v>0</v>
      </c>
      <c r="B1" s="27"/>
      <c r="C1" s="27"/>
      <c r="D1" s="27"/>
      <c r="E1" s="27"/>
      <c r="F1" s="27"/>
      <c r="G1" s="27"/>
      <c r="H1" s="27"/>
      <c r="I1" s="27"/>
      <c r="J1" s="2"/>
    </row>
    <row r="2" spans="1:11" ht="12.75" customHeight="1">
      <c r="A2" s="29" t="s">
        <v>4</v>
      </c>
      <c r="B2" s="27"/>
      <c r="C2" s="27"/>
      <c r="D2" s="27"/>
      <c r="E2" s="27"/>
      <c r="F2" s="27"/>
      <c r="G2" s="27"/>
      <c r="H2" s="27"/>
      <c r="I2" s="27"/>
      <c r="J2" s="2"/>
    </row>
    <row r="3" spans="1:11" ht="12.75" customHeight="1">
      <c r="A3" s="4"/>
      <c r="B3" s="4"/>
      <c r="C3" s="4"/>
      <c r="D3" s="4"/>
      <c r="E3" s="4"/>
      <c r="F3" s="4"/>
      <c r="G3" s="4"/>
      <c r="H3" s="4"/>
      <c r="I3" s="4"/>
      <c r="J3" s="2"/>
    </row>
    <row r="4" spans="1:11" ht="12.75" customHeight="1">
      <c r="A4" s="5" t="s">
        <v>13</v>
      </c>
      <c r="B4" s="5" t="s">
        <v>18</v>
      </c>
      <c r="C4" s="5" t="s">
        <v>19</v>
      </c>
      <c r="D4" s="5" t="s">
        <v>21</v>
      </c>
      <c r="E4" s="5" t="s">
        <v>22</v>
      </c>
      <c r="F4" s="5" t="s">
        <v>24</v>
      </c>
      <c r="G4" s="5" t="s">
        <v>26</v>
      </c>
      <c r="H4" s="5" t="s">
        <v>28</v>
      </c>
      <c r="I4" s="5" t="s">
        <v>29</v>
      </c>
      <c r="J4" s="2"/>
    </row>
    <row r="5" spans="1:11" ht="12.75" customHeight="1">
      <c r="A5" s="7">
        <v>1</v>
      </c>
      <c r="B5" s="7" t="s">
        <v>33</v>
      </c>
      <c r="C5" s="7" t="s">
        <v>34</v>
      </c>
      <c r="D5" s="7" t="s">
        <v>35</v>
      </c>
      <c r="E5" s="9">
        <v>527.87</v>
      </c>
      <c r="F5" s="9">
        <v>422.29</v>
      </c>
      <c r="G5" s="11">
        <f t="shared" ref="G5:G9" si="0">E5-F5</f>
        <v>105.57999999999998</v>
      </c>
      <c r="H5" s="12">
        <f t="shared" ref="H5:H9" si="1">IF(E5=0,0,G5/E5)</f>
        <v>0.20001136643491765</v>
      </c>
      <c r="I5" s="7" t="s">
        <v>45</v>
      </c>
      <c r="J5" s="2"/>
    </row>
    <row r="6" spans="1:11" ht="12.75" customHeight="1">
      <c r="A6" s="7">
        <v>2</v>
      </c>
      <c r="B6" s="7" t="s">
        <v>47</v>
      </c>
      <c r="C6" s="7" t="s">
        <v>48</v>
      </c>
      <c r="D6" s="7" t="s">
        <v>50</v>
      </c>
      <c r="E6" s="9">
        <v>45.6</v>
      </c>
      <c r="F6" s="9">
        <v>9.0399999999999991</v>
      </c>
      <c r="G6" s="11">
        <f t="shared" si="0"/>
        <v>36.56</v>
      </c>
      <c r="H6" s="12">
        <f t="shared" si="1"/>
        <v>0.80175438596491233</v>
      </c>
      <c r="I6" s="7" t="s">
        <v>55</v>
      </c>
      <c r="J6" s="2"/>
    </row>
    <row r="7" spans="1:11" ht="12.75" customHeight="1">
      <c r="A7" s="7">
        <v>3</v>
      </c>
      <c r="B7" s="7" t="s">
        <v>59</v>
      </c>
      <c r="C7" s="7" t="s">
        <v>60</v>
      </c>
      <c r="D7" s="7" t="s">
        <v>61</v>
      </c>
      <c r="E7" s="9">
        <v>53</v>
      </c>
      <c r="F7" s="9">
        <v>42.2</v>
      </c>
      <c r="G7" s="11">
        <f t="shared" si="0"/>
        <v>10.799999999999997</v>
      </c>
      <c r="H7" s="12">
        <f t="shared" si="1"/>
        <v>0.20377358490566033</v>
      </c>
      <c r="I7" s="7" t="s">
        <v>66</v>
      </c>
      <c r="J7" s="2"/>
    </row>
    <row r="8" spans="1:11" ht="12.75" customHeight="1">
      <c r="A8" s="7">
        <v>4</v>
      </c>
      <c r="B8" s="7" t="s">
        <v>68</v>
      </c>
      <c r="C8" s="7" t="s">
        <v>69</v>
      </c>
      <c r="D8" s="7" t="s">
        <v>70</v>
      </c>
      <c r="E8" s="9">
        <v>330</v>
      </c>
      <c r="F8" s="9">
        <v>137.19</v>
      </c>
      <c r="G8" s="11">
        <f t="shared" si="0"/>
        <v>192.81</v>
      </c>
      <c r="H8" s="12">
        <f t="shared" si="1"/>
        <v>0.58427272727272728</v>
      </c>
      <c r="I8" s="7" t="s">
        <v>74</v>
      </c>
      <c r="J8" s="2"/>
    </row>
    <row r="9" spans="1:11" ht="12.75" customHeight="1">
      <c r="A9" s="7">
        <v>5</v>
      </c>
      <c r="B9" s="7" t="s">
        <v>75</v>
      </c>
      <c r="C9" s="7" t="s">
        <v>76</v>
      </c>
      <c r="D9" s="7" t="s">
        <v>77</v>
      </c>
      <c r="E9" s="9">
        <v>106.31</v>
      </c>
      <c r="F9" s="9">
        <v>61.06</v>
      </c>
      <c r="G9" s="11">
        <f t="shared" si="0"/>
        <v>45.25</v>
      </c>
      <c r="H9" s="12">
        <f t="shared" si="1"/>
        <v>0.42564199040541811</v>
      </c>
      <c r="I9" s="7" t="s">
        <v>81</v>
      </c>
      <c r="J9" s="2"/>
    </row>
    <row r="10" spans="1:11" ht="12.75" customHeight="1">
      <c r="A10" s="4"/>
      <c r="B10" s="4"/>
      <c r="C10" s="4"/>
      <c r="D10" s="4"/>
      <c r="E10" s="4"/>
      <c r="F10" s="4"/>
      <c r="G10" s="4"/>
      <c r="H10" s="4"/>
      <c r="I10" s="4"/>
      <c r="J10" s="2"/>
    </row>
    <row r="11" spans="1:11" ht="12.75" customHeight="1">
      <c r="A11" s="30" t="s">
        <v>92</v>
      </c>
      <c r="B11" s="27"/>
      <c r="C11" s="27"/>
      <c r="D11" s="30" t="s">
        <v>94</v>
      </c>
      <c r="E11" s="27"/>
      <c r="F11" s="27"/>
      <c r="G11" s="30"/>
      <c r="H11" s="27"/>
      <c r="I11" s="27"/>
      <c r="J11" s="2"/>
    </row>
    <row r="12" spans="1:11" ht="12.75" customHeight="1">
      <c r="A12" s="27"/>
      <c r="B12" s="27"/>
      <c r="C12" s="27"/>
      <c r="D12" s="27"/>
      <c r="E12" s="27"/>
      <c r="F12" s="27"/>
      <c r="G12" s="27"/>
      <c r="H12" s="27"/>
      <c r="I12" s="27"/>
      <c r="J12" s="2"/>
    </row>
    <row r="13" spans="1:11" ht="12.75" customHeight="1">
      <c r="A13" s="31">
        <f>SUM(E5:E9)</f>
        <v>1062.78</v>
      </c>
      <c r="B13" s="27"/>
      <c r="C13" s="27"/>
      <c r="D13" s="31">
        <f>SUM(F5:F9)</f>
        <v>671.78</v>
      </c>
      <c r="E13" s="27"/>
      <c r="F13" s="27"/>
      <c r="G13" s="32"/>
      <c r="H13" s="27"/>
      <c r="I13" s="27"/>
      <c r="J13" s="2"/>
    </row>
    <row r="14" spans="1:11" ht="12.75" customHeight="1">
      <c r="A14" s="27"/>
      <c r="B14" s="27"/>
      <c r="C14" s="27"/>
      <c r="D14" s="27"/>
      <c r="E14" s="27"/>
      <c r="F14" s="27"/>
      <c r="G14" s="27"/>
      <c r="H14" s="27"/>
      <c r="I14" s="27"/>
      <c r="J14" s="2"/>
    </row>
    <row r="15" spans="1:11" ht="12.75" customHeight="1">
      <c r="A15" s="1"/>
      <c r="B15" s="1"/>
      <c r="C15" s="1"/>
      <c r="D15" s="1"/>
      <c r="E15" s="1"/>
      <c r="F15" s="1"/>
      <c r="G15" s="1"/>
      <c r="H15" s="1"/>
      <c r="I15" s="1"/>
      <c r="J15" s="2"/>
      <c r="K15" s="17" t="s">
        <v>108</v>
      </c>
    </row>
    <row r="16" spans="1:11" ht="12.75" customHeight="1">
      <c r="A16" s="3"/>
      <c r="B16" s="3"/>
      <c r="C16" s="3"/>
      <c r="D16" s="3"/>
      <c r="E16" s="3"/>
      <c r="F16" s="3"/>
      <c r="G16" s="3"/>
      <c r="H16" s="3"/>
      <c r="I16" s="3"/>
    </row>
    <row r="17" spans="1:9" ht="12.75" customHeight="1">
      <c r="A17" s="3"/>
      <c r="B17" s="3"/>
      <c r="C17" s="3"/>
      <c r="D17" s="3"/>
      <c r="E17" s="3"/>
      <c r="F17" s="3"/>
      <c r="G17" s="3"/>
      <c r="H17" s="3"/>
      <c r="I17" s="3"/>
    </row>
    <row r="18" spans="1:9" ht="12.75" customHeight="1">
      <c r="A18" s="3"/>
      <c r="B18" s="3"/>
      <c r="C18" s="3"/>
      <c r="D18" s="3"/>
      <c r="E18" s="3"/>
      <c r="F18" s="3"/>
      <c r="G18" s="3"/>
      <c r="H18" s="3"/>
      <c r="I18" s="3"/>
    </row>
    <row r="19" spans="1:9" ht="12.75" customHeight="1">
      <c r="A19" s="3"/>
      <c r="B19" s="3"/>
      <c r="C19" s="3"/>
      <c r="D19" s="3"/>
      <c r="E19" s="3"/>
      <c r="F19" s="3"/>
      <c r="G19" s="3"/>
      <c r="H19" s="3"/>
      <c r="I19" s="3"/>
    </row>
    <row r="20" spans="1:9" ht="12.75" customHeight="1">
      <c r="A20" s="3"/>
      <c r="B20" s="3"/>
      <c r="C20" s="3"/>
      <c r="D20" s="3"/>
      <c r="E20" s="3"/>
      <c r="F20" s="3"/>
      <c r="G20" s="3"/>
      <c r="H20" s="3"/>
      <c r="I20" s="3"/>
    </row>
    <row r="21" spans="1:9" ht="12.75" customHeight="1">
      <c r="A21" s="3"/>
      <c r="B21" s="3"/>
      <c r="C21" s="3"/>
      <c r="D21" s="3"/>
      <c r="E21" s="3"/>
      <c r="F21" s="3"/>
      <c r="G21" s="3"/>
      <c r="H21" s="3"/>
      <c r="I21" s="3"/>
    </row>
    <row r="22" spans="1:9" ht="12.75" customHeight="1"/>
    <row r="23" spans="1:9" ht="12.75" customHeight="1"/>
    <row r="24" spans="1:9" ht="12.75" customHeight="1"/>
    <row r="25" spans="1:9" ht="12.75" customHeight="1"/>
    <row r="26" spans="1:9" ht="12.75" customHeight="1"/>
    <row r="27" spans="1:9" ht="12.75" customHeight="1"/>
    <row r="28" spans="1:9" ht="12.75" customHeight="1"/>
    <row r="29" spans="1:9" ht="12.75" customHeight="1"/>
    <row r="30" spans="1:9" ht="12.75" customHeight="1"/>
    <row r="31" spans="1:9" ht="12.75" customHeight="1"/>
    <row r="32" spans="1:9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13:C14"/>
    <mergeCell ref="D13:F14"/>
    <mergeCell ref="G13:I14"/>
    <mergeCell ref="A1:I1"/>
    <mergeCell ref="A2:I2"/>
    <mergeCell ref="A11:C12"/>
    <mergeCell ref="D11:F12"/>
    <mergeCell ref="G11:I12"/>
  </mergeCells>
  <phoneticPr fontId="6" type="noConversion"/>
  <pageMargins left="0.74805557727813721" right="0.74805557727813721" top="0.98430556058883667" bottom="0.98430556058883667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사전 서비스별 예측 비용</vt:lpstr>
      <vt:lpstr>aws 전체 실질적 리소스 사용</vt:lpstr>
      <vt:lpstr>절감안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봉수 김</cp:lastModifiedBy>
  <dcterms:created xsi:type="dcterms:W3CDTF">2026-08-18T12:06:45Z</dcterms:created>
  <dcterms:modified xsi:type="dcterms:W3CDTF">2026-09-26T04:36:59Z</dcterms:modified>
</cp:coreProperties>
</file>